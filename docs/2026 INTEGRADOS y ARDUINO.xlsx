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OneDrive\Desktop\"/>
    </mc:Choice>
  </mc:AlternateContent>
  <bookViews>
    <workbookView xWindow="0" yWindow="0" windowWidth="9072" windowHeight="8364"/>
  </bookViews>
  <sheets>
    <sheet name="INTEGRADOS" sheetId="1" r:id="rId1"/>
    <sheet name="Gráfico1" sheetId="4" state="hidden" r:id="rId2"/>
    <sheet name="MODULOS ARDUINO" sheetId="2" r:id="rId3"/>
    <sheet name="Hoja3" sheetId="3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  <c r="F208" i="1" l="1"/>
  <c r="F1076" i="1" l="1"/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F78" i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F294" i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F523" i="1"/>
  <c r="E525" i="1"/>
  <c r="F525" i="1" s="1"/>
  <c r="E526" i="1"/>
  <c r="F526" i="1" s="1"/>
  <c r="F527" i="1"/>
  <c r="E528" i="1"/>
  <c r="F528" i="1" s="1"/>
  <c r="E529" i="1"/>
  <c r="F529" i="1" s="1"/>
  <c r="F530" i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E601" i="1"/>
  <c r="F601" i="1" s="1"/>
  <c r="E602" i="1"/>
  <c r="F602" i="1" s="1"/>
  <c r="E603" i="1"/>
  <c r="F603" i="1" s="1"/>
  <c r="E604" i="1"/>
  <c r="F604" i="1" s="1"/>
  <c r="F605" i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F785" i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E831" i="1"/>
  <c r="F831" i="1" s="1"/>
  <c r="E833" i="1"/>
  <c r="F833" i="1" s="1"/>
  <c r="E834" i="1"/>
  <c r="F834" i="1" s="1"/>
  <c r="E835" i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3" i="1"/>
  <c r="F3" i="1" s="1"/>
  <c r="F2" i="1" l="1"/>
  <c r="G750" i="1" l="1"/>
</calcChain>
</file>

<file path=xl/sharedStrings.xml><?xml version="1.0" encoding="utf-8"?>
<sst xmlns="http://schemas.openxmlformats.org/spreadsheetml/2006/main" count="2527" uniqueCount="1828">
  <si>
    <t>ITEM</t>
  </si>
  <si>
    <t>CAJA</t>
  </si>
  <si>
    <t>DESCRIPCION</t>
  </si>
  <si>
    <t>PRECIO</t>
  </si>
  <si>
    <t>ULTRA FAST RECOVERY 60A,300V</t>
  </si>
  <si>
    <t>PC123</t>
  </si>
  <si>
    <t>TDA2822</t>
  </si>
  <si>
    <t>LM338T</t>
  </si>
  <si>
    <t>LM350T</t>
  </si>
  <si>
    <t>2N5551</t>
  </si>
  <si>
    <t>2N5401</t>
  </si>
  <si>
    <t>2N5551  SMD</t>
  </si>
  <si>
    <t>5KV700mA</t>
  </si>
  <si>
    <t>FUSIBLE MICRO-ONDAS</t>
  </si>
  <si>
    <t>5KV750mA</t>
  </si>
  <si>
    <t>CL01-12</t>
  </si>
  <si>
    <t>DIODO MICRO-ONDAS 12KV,350mA,30A</t>
  </si>
  <si>
    <t>5KV850mA</t>
  </si>
  <si>
    <t>C2073</t>
  </si>
  <si>
    <t>A940</t>
  </si>
  <si>
    <t>TC7660UCP</t>
  </si>
  <si>
    <t>ICL7660CPAZ</t>
  </si>
  <si>
    <t>MJE15032G</t>
  </si>
  <si>
    <t>MJE15033G</t>
  </si>
  <si>
    <t>IGBT 650V,60A</t>
  </si>
  <si>
    <t>IGBT 600V,60A</t>
  </si>
  <si>
    <t>IGBT 600V,75A</t>
  </si>
  <si>
    <t>IGBT 600V,27A</t>
  </si>
  <si>
    <t>IGBT 600V,40A</t>
  </si>
  <si>
    <t>IGBT 600V,24A  TIPO TIP</t>
  </si>
  <si>
    <t>IGBT 1200V,40A</t>
  </si>
  <si>
    <t>BC337</t>
  </si>
  <si>
    <t>BC327</t>
  </si>
  <si>
    <t>BC238</t>
  </si>
  <si>
    <t>BF244</t>
  </si>
  <si>
    <t>BF495</t>
  </si>
  <si>
    <t>BF422</t>
  </si>
  <si>
    <t>BF494</t>
  </si>
  <si>
    <t>LM35DZ</t>
  </si>
  <si>
    <t>SENSOR TEMPERATURA</t>
  </si>
  <si>
    <t>TMP36GZ</t>
  </si>
  <si>
    <t>L293B</t>
  </si>
  <si>
    <t>DRIVER MOTOR</t>
  </si>
  <si>
    <t>NE5534P</t>
  </si>
  <si>
    <t>NE5532P</t>
  </si>
  <si>
    <t>TL431C</t>
  </si>
  <si>
    <t>IR2153</t>
  </si>
  <si>
    <t>ULN2804A</t>
  </si>
  <si>
    <t>ULN2003APG</t>
  </si>
  <si>
    <t>ULN2004APG</t>
  </si>
  <si>
    <t>ULN2803APG</t>
  </si>
  <si>
    <t>L293D</t>
  </si>
  <si>
    <t>MOC3020</t>
  </si>
  <si>
    <t>MOC3010</t>
  </si>
  <si>
    <t>MOC3052</t>
  </si>
  <si>
    <t>MOC3051</t>
  </si>
  <si>
    <t>MOC3021</t>
  </si>
  <si>
    <t>MOC3041</t>
  </si>
  <si>
    <t>MOC3061</t>
  </si>
  <si>
    <t>MOC3063</t>
  </si>
  <si>
    <t>MOC3083</t>
  </si>
  <si>
    <t>UC3843</t>
  </si>
  <si>
    <t>UC3842</t>
  </si>
  <si>
    <t>UC3846</t>
  </si>
  <si>
    <t>UC3845</t>
  </si>
  <si>
    <t>4N25</t>
  </si>
  <si>
    <t>4N35</t>
  </si>
  <si>
    <t>4N37</t>
  </si>
  <si>
    <t>STV8172</t>
  </si>
  <si>
    <t>STV9302A</t>
  </si>
  <si>
    <t>TDA4863AJ</t>
  </si>
  <si>
    <t>TDA4865AJ</t>
  </si>
  <si>
    <t>BUL312FP</t>
  </si>
  <si>
    <t>LA78045</t>
  </si>
  <si>
    <t>LA78041</t>
  </si>
  <si>
    <t>LA78141</t>
  </si>
  <si>
    <t>LA78145</t>
  </si>
  <si>
    <t>TIC106D</t>
  </si>
  <si>
    <t>SCR</t>
  </si>
  <si>
    <t>TIRISTOR 1200V,30A</t>
  </si>
  <si>
    <t>SCR 40A</t>
  </si>
  <si>
    <t>A1013</t>
  </si>
  <si>
    <t>C2383</t>
  </si>
  <si>
    <t>D667</t>
  </si>
  <si>
    <t>B647</t>
  </si>
  <si>
    <t>C1573</t>
  </si>
  <si>
    <t>C2482</t>
  </si>
  <si>
    <t>C2331</t>
  </si>
  <si>
    <t>C2655</t>
  </si>
  <si>
    <t>TA6586</t>
  </si>
  <si>
    <t>MOTOR DRIVER,PARA AUTOS DE NIÑO</t>
  </si>
  <si>
    <t>BD244</t>
  </si>
  <si>
    <t>MJE340</t>
  </si>
  <si>
    <t>SK3875</t>
  </si>
  <si>
    <t>MSP430F20121PW</t>
  </si>
  <si>
    <t>IC DE CAMINADORA</t>
  </si>
  <si>
    <t>D669A</t>
  </si>
  <si>
    <t>NPN, VCE 160V, IC 1,5A</t>
  </si>
  <si>
    <t>B649A</t>
  </si>
  <si>
    <t>PNP, VCE  -160V, IC 1,5A</t>
  </si>
  <si>
    <t>BD139</t>
  </si>
  <si>
    <t>NPN, VCE  80V, IC 1,5A, HFE 250</t>
  </si>
  <si>
    <t>BD140</t>
  </si>
  <si>
    <t>PNP, VCE  -80V, IC 1,5A,HFE 40</t>
  </si>
  <si>
    <t>BD137</t>
  </si>
  <si>
    <t>D1684</t>
  </si>
  <si>
    <t>B772</t>
  </si>
  <si>
    <t>BD136</t>
  </si>
  <si>
    <t>BD135</t>
  </si>
  <si>
    <t>NPN, VCE 60V, IC 0,5A HFE 100</t>
  </si>
  <si>
    <t>NPN, VCE 100V, IC 1,5A HFE 100</t>
  </si>
  <si>
    <t>NPN, VCE 30, IC 3A,</t>
  </si>
  <si>
    <t>PNP, VCE 30V, IC 3A</t>
  </si>
  <si>
    <t>NPN, VCE 45V, IC 1,5</t>
  </si>
  <si>
    <t>PNP, VCE 45V, IC 1,5</t>
  </si>
  <si>
    <t>LM3914</t>
  </si>
  <si>
    <t>VUMETRO</t>
  </si>
  <si>
    <t>LM3915</t>
  </si>
  <si>
    <t>LM3916</t>
  </si>
  <si>
    <t>ES56031</t>
  </si>
  <si>
    <t>ECHO SOUND PROCESSOR</t>
  </si>
  <si>
    <t>MOTOR DRIVER IGBT 600V, 5A (LAVADORA)</t>
  </si>
  <si>
    <t>IR-LED EMISOR</t>
  </si>
  <si>
    <t xml:space="preserve">IR- TSOP1838 </t>
  </si>
  <si>
    <t>IR RECEPTOR 3 PIN</t>
  </si>
  <si>
    <t>TCRT5000</t>
  </si>
  <si>
    <t>SENSOR DE LINEA</t>
  </si>
  <si>
    <t>CNY70</t>
  </si>
  <si>
    <t>H21A1</t>
  </si>
  <si>
    <t>SENSOR DE PASO O BARRERA</t>
  </si>
  <si>
    <t>LDR CHICO</t>
  </si>
  <si>
    <t>LDR MEDIANO</t>
  </si>
  <si>
    <t>L117MRI</t>
  </si>
  <si>
    <t>IC LAVADORA</t>
  </si>
  <si>
    <t>TNY266PN</t>
  </si>
  <si>
    <t>5M2LZ47</t>
  </si>
  <si>
    <t>LNK304PN</t>
  </si>
  <si>
    <t>LNK500PN</t>
  </si>
  <si>
    <t>LNK364PN</t>
  </si>
  <si>
    <t>LNK306PN</t>
  </si>
  <si>
    <t>OB2212AP</t>
  </si>
  <si>
    <t>LNK 354PN</t>
  </si>
  <si>
    <t>BCR1AM</t>
  </si>
  <si>
    <t>TRIAC CHICO</t>
  </si>
  <si>
    <t>MAC97A8</t>
  </si>
  <si>
    <t>TNY176PN</t>
  </si>
  <si>
    <t>TNY280PN</t>
  </si>
  <si>
    <t>TNY177PN</t>
  </si>
  <si>
    <t>TNY278PN</t>
  </si>
  <si>
    <t>TNY277PN</t>
  </si>
  <si>
    <t>TNY178PN</t>
  </si>
  <si>
    <t>TNY179PN</t>
  </si>
  <si>
    <t>TNY264PN</t>
  </si>
  <si>
    <t>TNY180PN</t>
  </si>
  <si>
    <t>TNY264GN</t>
  </si>
  <si>
    <t>SW2658</t>
  </si>
  <si>
    <t>MIP2H2</t>
  </si>
  <si>
    <t>DM0265R</t>
  </si>
  <si>
    <t>5M02659R</t>
  </si>
  <si>
    <t>SM8002C</t>
  </si>
  <si>
    <t>P1014P10</t>
  </si>
  <si>
    <t>MC34063AP</t>
  </si>
  <si>
    <t>DH321</t>
  </si>
  <si>
    <t>P1014P06</t>
  </si>
  <si>
    <t>CX9841P</t>
  </si>
  <si>
    <t>TDA7265</t>
  </si>
  <si>
    <t>TDA7266</t>
  </si>
  <si>
    <t>TDA7266SA</t>
  </si>
  <si>
    <t>TDA7293</t>
  </si>
  <si>
    <t>TDA7294</t>
  </si>
  <si>
    <t>TDA7297</t>
  </si>
  <si>
    <t>TDA7297SA</t>
  </si>
  <si>
    <t>TDA7377</t>
  </si>
  <si>
    <t>TDA8560Q</t>
  </si>
  <si>
    <t>TDA8946J</t>
  </si>
  <si>
    <t>AN7522</t>
  </si>
  <si>
    <t>LA42102</t>
  </si>
  <si>
    <t>AN17807N</t>
  </si>
  <si>
    <t>LA42072</t>
  </si>
  <si>
    <t>D5032</t>
  </si>
  <si>
    <t>D5017</t>
  </si>
  <si>
    <t>C5386</t>
  </si>
  <si>
    <t>CMOS 4001</t>
  </si>
  <si>
    <t>CMOS 4011</t>
  </si>
  <si>
    <t>CMOS 4013</t>
  </si>
  <si>
    <t>CMOS 4015</t>
  </si>
  <si>
    <t>CMOS 4017</t>
  </si>
  <si>
    <t>CMOS 4018</t>
  </si>
  <si>
    <t>CMOS 4019</t>
  </si>
  <si>
    <t>CMOS 4020</t>
  </si>
  <si>
    <t>CMOS 4021</t>
  </si>
  <si>
    <t>CMOS 4026</t>
  </si>
  <si>
    <t>CMOS 4029</t>
  </si>
  <si>
    <t>CMOS 4027</t>
  </si>
  <si>
    <t>JK</t>
  </si>
  <si>
    <t>CMOS 4043</t>
  </si>
  <si>
    <t>CMOS 4047</t>
  </si>
  <si>
    <t>CMOS 4049</t>
  </si>
  <si>
    <t>CMOS 4066</t>
  </si>
  <si>
    <t>CMOS 4069</t>
  </si>
  <si>
    <t>NOT</t>
  </si>
  <si>
    <t>CMOS 4070</t>
  </si>
  <si>
    <t>OR EX</t>
  </si>
  <si>
    <t>CMOS 4071</t>
  </si>
  <si>
    <t xml:space="preserve">OR  </t>
  </si>
  <si>
    <t xml:space="preserve">CMOS 4072 </t>
  </si>
  <si>
    <t>CMOS 4073</t>
  </si>
  <si>
    <t>CMOS 4075</t>
  </si>
  <si>
    <t>OR 3 IN</t>
  </si>
  <si>
    <t>OR 4 IN</t>
  </si>
  <si>
    <t>AND 4 IN</t>
  </si>
  <si>
    <t>CMOS 4093</t>
  </si>
  <si>
    <t>NAND SMITH TRIGGER</t>
  </si>
  <si>
    <t>CMOS 4511</t>
  </si>
  <si>
    <t>CMOS 4518</t>
  </si>
  <si>
    <t>CMOS 4553</t>
  </si>
  <si>
    <t>CMOS 40106</t>
  </si>
  <si>
    <t>porta fusible c/ cable chico</t>
  </si>
  <si>
    <t>porta fusible de chasis chico</t>
  </si>
  <si>
    <t>cristal 8mhz</t>
  </si>
  <si>
    <t>cristal ceramico 3 pin de lavadora</t>
  </si>
  <si>
    <t>STK412-040</t>
  </si>
  <si>
    <t>STK412-150C</t>
  </si>
  <si>
    <t>STK433-320</t>
  </si>
  <si>
    <t>STK412-170C</t>
  </si>
  <si>
    <t>STK412-240M</t>
  </si>
  <si>
    <t>STK4172 II</t>
  </si>
  <si>
    <t>STK4231 II</t>
  </si>
  <si>
    <t>STK4192 II</t>
  </si>
  <si>
    <t>STK402-050</t>
  </si>
  <si>
    <t>STK402-070</t>
  </si>
  <si>
    <t>STK403-070</t>
  </si>
  <si>
    <t>STK433-300</t>
  </si>
  <si>
    <t>STK4211 II</t>
  </si>
  <si>
    <t>STK415-120</t>
  </si>
  <si>
    <t>STK4181 II</t>
  </si>
  <si>
    <t>TDA2002</t>
  </si>
  <si>
    <t>TDA2003</t>
  </si>
  <si>
    <t>TDA2007</t>
  </si>
  <si>
    <t>TDA2005</t>
  </si>
  <si>
    <t>TDA2009</t>
  </si>
  <si>
    <t>2N2907</t>
  </si>
  <si>
    <t>CQ0765RT</t>
  </si>
  <si>
    <t>5Q0765RT</t>
  </si>
  <si>
    <t>CQ1265RT</t>
  </si>
  <si>
    <t>BC548</t>
  </si>
  <si>
    <t>2N3904</t>
  </si>
  <si>
    <t>BC547</t>
  </si>
  <si>
    <t>2N2222</t>
  </si>
  <si>
    <t>2N3906</t>
  </si>
  <si>
    <t>TTL HD74LS00P</t>
  </si>
  <si>
    <t>TTL SN74LS02N</t>
  </si>
  <si>
    <t>TTL SN74LS04N</t>
  </si>
  <si>
    <t>TTL HD74LS04P</t>
  </si>
  <si>
    <t>TTL HD74LS08P</t>
  </si>
  <si>
    <t>TTL SN74LS10N</t>
  </si>
  <si>
    <t>TTL SN74LS11N</t>
  </si>
  <si>
    <t>TTL SN74HC14N</t>
  </si>
  <si>
    <t>TTL SN74LS21N</t>
  </si>
  <si>
    <t>TTL SN74LS27N</t>
  </si>
  <si>
    <t>TTL HD74LS32N</t>
  </si>
  <si>
    <t>TTL HD74LS42P</t>
  </si>
  <si>
    <t>TTL HD74LS47P</t>
  </si>
  <si>
    <t>TTL SN74LS48N</t>
  </si>
  <si>
    <t>TTL SN74LS73N</t>
  </si>
  <si>
    <t>TTL SN74LS76N</t>
  </si>
  <si>
    <t>TTL SN74LS74N</t>
  </si>
  <si>
    <t>TTL HD74LS83P</t>
  </si>
  <si>
    <t>TTL SN74LS83N</t>
  </si>
  <si>
    <t>TTL HD74LS86P</t>
  </si>
  <si>
    <t>TTL SN74LS90N</t>
  </si>
  <si>
    <t>TTL HD74LS93P</t>
  </si>
  <si>
    <t>TTL HD74LS132P</t>
  </si>
  <si>
    <t>TTL HD74LS138P</t>
  </si>
  <si>
    <t>MICRO USB</t>
  </si>
  <si>
    <t>PORTA FUSIBLE</t>
  </si>
  <si>
    <t>PARA SOLDAR A PLACA</t>
  </si>
  <si>
    <t>CRISTAL  NARANJA</t>
  </si>
  <si>
    <t>CRISTAL DE CONTROL REMOTO</t>
  </si>
  <si>
    <t>STK403-100</t>
  </si>
  <si>
    <t>STK419-140</t>
  </si>
  <si>
    <t>BU508AF</t>
  </si>
  <si>
    <t>ST2001HI</t>
  </si>
  <si>
    <t>D1577</t>
  </si>
  <si>
    <t>D1555</t>
  </si>
  <si>
    <t>J6810D</t>
  </si>
  <si>
    <t>J6920</t>
  </si>
  <si>
    <t xml:space="preserve">J6810 </t>
  </si>
  <si>
    <t>BU2520DF</t>
  </si>
  <si>
    <t>C3998</t>
  </si>
  <si>
    <t>NE555</t>
  </si>
  <si>
    <t>NE556</t>
  </si>
  <si>
    <t>JRC4558</t>
  </si>
  <si>
    <t>JRC2068D</t>
  </si>
  <si>
    <t>PEDIR SMD TAMBIEN</t>
  </si>
  <si>
    <t>S8050</t>
  </si>
  <si>
    <t>S8550</t>
  </si>
  <si>
    <t>C945</t>
  </si>
  <si>
    <t>A733</t>
  </si>
  <si>
    <t>C1815</t>
  </si>
  <si>
    <t>A1015</t>
  </si>
  <si>
    <t>BC557</t>
  </si>
  <si>
    <t>BC558</t>
  </si>
  <si>
    <t>BC559</t>
  </si>
  <si>
    <t>2N3702</t>
  </si>
  <si>
    <t>2N3819</t>
  </si>
  <si>
    <t>C5200</t>
  </si>
  <si>
    <t>A1943</t>
  </si>
  <si>
    <t>TTL SN74LS147</t>
  </si>
  <si>
    <t>TTL SN74LS151</t>
  </si>
  <si>
    <t>TTL HD74LS153P</t>
  </si>
  <si>
    <t>TTL SN74LS155N</t>
  </si>
  <si>
    <t>TTL HD74LS164P</t>
  </si>
  <si>
    <t>TTL SN74LS181N</t>
  </si>
  <si>
    <t>TTL SN74LS190N</t>
  </si>
  <si>
    <t>TTL SN74LS191N</t>
  </si>
  <si>
    <t>TTL SN74LS192N</t>
  </si>
  <si>
    <t>TTL HD74LS193P</t>
  </si>
  <si>
    <t>TTL SN74LS194N</t>
  </si>
  <si>
    <t>TTL SN74LS244N</t>
  </si>
  <si>
    <t>TTL SN74LS266N</t>
  </si>
  <si>
    <t>TTL SN74LS283</t>
  </si>
  <si>
    <t>TTL SN74LS373N</t>
  </si>
  <si>
    <t>TTL MC74HC573</t>
  </si>
  <si>
    <t>TTL SN74HC595</t>
  </si>
  <si>
    <t>TTL HD74LS112N</t>
  </si>
  <si>
    <t>SEGURO TAPA CD</t>
  </si>
  <si>
    <t>PORTA FUSIBLE GRANDE DE CHASSIS</t>
  </si>
  <si>
    <t>CRISTAL 3,5MHZ</t>
  </si>
  <si>
    <t>CRISTAL 4MHZ</t>
  </si>
  <si>
    <t>CRISTAL 8 MHZ</t>
  </si>
  <si>
    <t>CRISTAL 10 MHZ</t>
  </si>
  <si>
    <t>CRISTAL 12MHZ</t>
  </si>
  <si>
    <t>CRISTAL 16MHZ</t>
  </si>
  <si>
    <t>CRISTAL 20MHZ</t>
  </si>
  <si>
    <t>STRW6754</t>
  </si>
  <si>
    <t>STRW6556</t>
  </si>
  <si>
    <t>STRW6756</t>
  </si>
  <si>
    <t>STRW6554</t>
  </si>
  <si>
    <t>STRW6553A</t>
  </si>
  <si>
    <t>STRW6753</t>
  </si>
  <si>
    <t>STRG5653</t>
  </si>
  <si>
    <t>STRF6654</t>
  </si>
  <si>
    <t>DMO7652R</t>
  </si>
  <si>
    <t>STRY6473</t>
  </si>
  <si>
    <t>STRX6756</t>
  </si>
  <si>
    <t>STRS5707</t>
  </si>
  <si>
    <t>STRS6309</t>
  </si>
  <si>
    <t>D1877</t>
  </si>
  <si>
    <t>D1880</t>
  </si>
  <si>
    <t>D1878</t>
  </si>
  <si>
    <t>D1650</t>
  </si>
  <si>
    <t>24C08</t>
  </si>
  <si>
    <t>24C16</t>
  </si>
  <si>
    <t>24C04 SMD</t>
  </si>
  <si>
    <t>TRIMMER</t>
  </si>
  <si>
    <t>MJL21194</t>
  </si>
  <si>
    <t>MJL21193</t>
  </si>
  <si>
    <t>D998</t>
  </si>
  <si>
    <t>B778</t>
  </si>
  <si>
    <t>LA7830</t>
  </si>
  <si>
    <t>LA7837</t>
  </si>
  <si>
    <t>D2624</t>
  </si>
  <si>
    <t>MX0541</t>
  </si>
  <si>
    <t>TSOP1738</t>
  </si>
  <si>
    <t>LM358N</t>
  </si>
  <si>
    <t>LM393N</t>
  </si>
  <si>
    <t>LM386N</t>
  </si>
  <si>
    <t>LM339N</t>
  </si>
  <si>
    <t>PIC16F628</t>
  </si>
  <si>
    <t>PIC16F877A-I/P</t>
  </si>
  <si>
    <t>PIC16F886-I/SP</t>
  </si>
  <si>
    <t>PIC16F84A-04/P</t>
  </si>
  <si>
    <t>PIC18F2550-I/SP</t>
  </si>
  <si>
    <t>PIC18F4550-I/P</t>
  </si>
  <si>
    <t>ATTINY45 20PU</t>
  </si>
  <si>
    <t>ATTINY85 20PU</t>
  </si>
  <si>
    <t>ATMEGA328P</t>
  </si>
  <si>
    <t>PIC12F1840</t>
  </si>
  <si>
    <t>PIC12F675</t>
  </si>
  <si>
    <t>PIC18F4620-I/P</t>
  </si>
  <si>
    <t>PIC16F887-I/P</t>
  </si>
  <si>
    <t>PIC16F876A -I/SP</t>
  </si>
  <si>
    <t>PIC16F88-I/P</t>
  </si>
  <si>
    <t>TDA7379</t>
  </si>
  <si>
    <t>SMD MC1413DG</t>
  </si>
  <si>
    <t>ARRAY DARLINGTON</t>
  </si>
  <si>
    <t>SMD ULN2003APG</t>
  </si>
  <si>
    <t>SMD ULN2004APG</t>
  </si>
  <si>
    <t>SMD KID65004AF</t>
  </si>
  <si>
    <t>SMD UC3845</t>
  </si>
  <si>
    <t>KID65004AP</t>
  </si>
  <si>
    <t>UM3561</t>
  </si>
  <si>
    <t>H11A1</t>
  </si>
  <si>
    <t>H11AA1</t>
  </si>
  <si>
    <t>AOP605</t>
  </si>
  <si>
    <t>MOSFET  N.P CHANNEL</t>
  </si>
  <si>
    <t>SMD MAX4080</t>
  </si>
  <si>
    <t>SMD OB5269CP</t>
  </si>
  <si>
    <t>SMD 1117ADC</t>
  </si>
  <si>
    <t>SMD 4840N</t>
  </si>
  <si>
    <t>NTMD4840NR CANAL N  ID 7.5A</t>
  </si>
  <si>
    <t>SMD RT5047A</t>
  </si>
  <si>
    <t>AZAMERICA 2005</t>
  </si>
  <si>
    <t>SMD L6599AD</t>
  </si>
  <si>
    <t>OSCILADOR DE FUENTE TV LCD, PLASMA</t>
  </si>
  <si>
    <t>SMD BA10358</t>
  </si>
  <si>
    <t>SMD Q9945A</t>
  </si>
  <si>
    <t>REEMPLAZO LM358</t>
  </si>
  <si>
    <t>ECU DRIVER INJECTOR , MOSFET</t>
  </si>
  <si>
    <t>SMD 4580</t>
  </si>
  <si>
    <t>NJM4580M  JRC4580</t>
  </si>
  <si>
    <t>SMD XPT9911</t>
  </si>
  <si>
    <t>AMP AUDIO</t>
  </si>
  <si>
    <t>MCU 16 BIT 2K RAM</t>
  </si>
  <si>
    <t>SMD F2012</t>
  </si>
  <si>
    <t>SMD 5532</t>
  </si>
  <si>
    <t>OPERACIONAL</t>
  </si>
  <si>
    <t>SMD CS8509E</t>
  </si>
  <si>
    <t>AUDIO</t>
  </si>
  <si>
    <t>AUDIO A SALIDAS</t>
  </si>
  <si>
    <t>SMD HT5693SP</t>
  </si>
  <si>
    <t>SMD CD2313</t>
  </si>
  <si>
    <t>SMD CS8573E</t>
  </si>
  <si>
    <t>SMD NS4871</t>
  </si>
  <si>
    <t>AUDIO 20W</t>
  </si>
  <si>
    <t>PAL007A</t>
  </si>
  <si>
    <t>PAL011A</t>
  </si>
  <si>
    <t>PAL012A</t>
  </si>
  <si>
    <t>PAL013A</t>
  </si>
  <si>
    <t>PA2030A</t>
  </si>
  <si>
    <t>PA2032A</t>
  </si>
  <si>
    <t>PAL007E</t>
  </si>
  <si>
    <t>TDA7386</t>
  </si>
  <si>
    <t>TDA7388</t>
  </si>
  <si>
    <t>TDA8588AJ</t>
  </si>
  <si>
    <t>TIP120</t>
  </si>
  <si>
    <t>TIP121</t>
  </si>
  <si>
    <t>TIP122</t>
  </si>
  <si>
    <t>TIP125</t>
  </si>
  <si>
    <t>TIP127</t>
  </si>
  <si>
    <t>MJE2955</t>
  </si>
  <si>
    <t>MJE3055</t>
  </si>
  <si>
    <t>A1294</t>
  </si>
  <si>
    <t>C3263</t>
  </si>
  <si>
    <t>LM324N</t>
  </si>
  <si>
    <t>LM741N</t>
  </si>
  <si>
    <t>UA741</t>
  </si>
  <si>
    <t>TEA1506T</t>
  </si>
  <si>
    <t>LF356N</t>
  </si>
  <si>
    <t>CA3140</t>
  </si>
  <si>
    <t>LF353</t>
  </si>
  <si>
    <t>LF351</t>
  </si>
  <si>
    <t>TL071</t>
  </si>
  <si>
    <t>TL074</t>
  </si>
  <si>
    <t>TL072</t>
  </si>
  <si>
    <t>TL081</t>
  </si>
  <si>
    <t>TL082</t>
  </si>
  <si>
    <t>TL084</t>
  </si>
  <si>
    <t>TL494</t>
  </si>
  <si>
    <t>L7806</t>
  </si>
  <si>
    <t>78T05</t>
  </si>
  <si>
    <t>5V,3A</t>
  </si>
  <si>
    <t>KIA7812</t>
  </si>
  <si>
    <t>TIP41C</t>
  </si>
  <si>
    <t>TIP42C</t>
  </si>
  <si>
    <t>TIP31C</t>
  </si>
  <si>
    <t>TIP32C</t>
  </si>
  <si>
    <t>TIP141</t>
  </si>
  <si>
    <t>LM311</t>
  </si>
  <si>
    <t>TDA8954TH</t>
  </si>
  <si>
    <t>AT93C56B</t>
  </si>
  <si>
    <t>TDA8920BTH</t>
  </si>
  <si>
    <t>SMD MAX485</t>
  </si>
  <si>
    <t>SP485EE</t>
  </si>
  <si>
    <t>AT93C66B</t>
  </si>
  <si>
    <t>AT93C46</t>
  </si>
  <si>
    <t>SMD AS15-G</t>
  </si>
  <si>
    <t>SMD AS19-H</t>
  </si>
  <si>
    <t>SMD AZ1005</t>
  </si>
  <si>
    <t>SMD S8035E</t>
  </si>
  <si>
    <t>TOCOMFREE</t>
  </si>
  <si>
    <t>SMD CA3E1</t>
  </si>
  <si>
    <t>SMD 8002A</t>
  </si>
  <si>
    <t>SMD 6853F43</t>
  </si>
  <si>
    <t>SMD 25Q128</t>
  </si>
  <si>
    <t>SMD 25Q64</t>
  </si>
  <si>
    <t>SMD 25Q32</t>
  </si>
  <si>
    <t>SMD 74HC164</t>
  </si>
  <si>
    <t>D3N40</t>
  </si>
  <si>
    <t>TERMISTOR LAVADORA</t>
  </si>
  <si>
    <t>TERMISTOR WMZ75S</t>
  </si>
  <si>
    <t>TERMISTOR NTC47D-15</t>
  </si>
  <si>
    <t>TERMISTOR SCK138</t>
  </si>
  <si>
    <t>TERMISTOR SCK054</t>
  </si>
  <si>
    <t>TERMISTOR NTC10D-20</t>
  </si>
  <si>
    <t>ACS1207S</t>
  </si>
  <si>
    <t>BCR12PM</t>
  </si>
  <si>
    <t>ACS1086S</t>
  </si>
  <si>
    <t>MAX232</t>
  </si>
  <si>
    <t>DS1669-50</t>
  </si>
  <si>
    <t>AD620AN</t>
  </si>
  <si>
    <t>DAC0808</t>
  </si>
  <si>
    <t>ADC0804</t>
  </si>
  <si>
    <t>MC3008</t>
  </si>
  <si>
    <t>XR2206</t>
  </si>
  <si>
    <t>MAX038</t>
  </si>
  <si>
    <t>ICL8038</t>
  </si>
  <si>
    <t>MAX7219CNG</t>
  </si>
  <si>
    <t>TM1637</t>
  </si>
  <si>
    <t>SMD SG3525</t>
  </si>
  <si>
    <t>MCP4921</t>
  </si>
  <si>
    <t>IR2110</t>
  </si>
  <si>
    <t>HT12E</t>
  </si>
  <si>
    <t>HT12D</t>
  </si>
  <si>
    <t>ICL7107</t>
  </si>
  <si>
    <t>BA3822LS</t>
  </si>
  <si>
    <t>SMD LM311</t>
  </si>
  <si>
    <t>LM331</t>
  </si>
  <si>
    <t>MPS6534</t>
  </si>
  <si>
    <t>MPS6531</t>
  </si>
  <si>
    <t>MPSA13</t>
  </si>
  <si>
    <t>MPSA14</t>
  </si>
  <si>
    <t>TEA1507P</t>
  </si>
  <si>
    <t>E13009L</t>
  </si>
  <si>
    <t>D2560</t>
  </si>
  <si>
    <t>2N2646</t>
  </si>
  <si>
    <t>LM1875T</t>
  </si>
  <si>
    <t>A1837</t>
  </si>
  <si>
    <t>PNP</t>
  </si>
  <si>
    <t>C4793</t>
  </si>
  <si>
    <t>NPN</t>
  </si>
  <si>
    <t>A1693</t>
  </si>
  <si>
    <t>C4466</t>
  </si>
  <si>
    <t>STRF6238</t>
  </si>
  <si>
    <t>TIP105</t>
  </si>
  <si>
    <t>TIP35C</t>
  </si>
  <si>
    <t>TIP36C</t>
  </si>
  <si>
    <t>TIP147</t>
  </si>
  <si>
    <t>TIP142</t>
  </si>
  <si>
    <t>PIEZOELECTRICO</t>
  </si>
  <si>
    <t>SMD TL494</t>
  </si>
  <si>
    <t>SWITCH MAGNETICO</t>
  </si>
  <si>
    <t>REED SWITCH</t>
  </si>
  <si>
    <t>REED SWITCH NC</t>
  </si>
  <si>
    <t>DIODO LASER</t>
  </si>
  <si>
    <t>LM350K</t>
  </si>
  <si>
    <t>2N3771</t>
  </si>
  <si>
    <t>TOP260YN</t>
  </si>
  <si>
    <t>LNK6777K</t>
  </si>
  <si>
    <t>TOP266EG</t>
  </si>
  <si>
    <t>TOP246PN</t>
  </si>
  <si>
    <t>TOP253PN</t>
  </si>
  <si>
    <t>TOP266VG</t>
  </si>
  <si>
    <t>TOP243YN</t>
  </si>
  <si>
    <t>TOP245YN</t>
  </si>
  <si>
    <t>TOP246YN</t>
  </si>
  <si>
    <t>TOP247YN</t>
  </si>
  <si>
    <t>TOP258YN</t>
  </si>
  <si>
    <t>A6054H</t>
  </si>
  <si>
    <t>C6090</t>
  </si>
  <si>
    <t>C6092</t>
  </si>
  <si>
    <t>C6093</t>
  </si>
  <si>
    <t>MD1803DFH</t>
  </si>
  <si>
    <t>STK0460</t>
  </si>
  <si>
    <t>STP65NF06</t>
  </si>
  <si>
    <t>VIPER12A</t>
  </si>
  <si>
    <t>VIPER17L</t>
  </si>
  <si>
    <t>VIPER22A</t>
  </si>
  <si>
    <t>VIPER53</t>
  </si>
  <si>
    <t>A6052M</t>
  </si>
  <si>
    <t>A6053M</t>
  </si>
  <si>
    <t>OB2269CP</t>
  </si>
  <si>
    <t>44608P40</t>
  </si>
  <si>
    <t>L6565</t>
  </si>
  <si>
    <t>TNY277GN</t>
  </si>
  <si>
    <t>D2162</t>
  </si>
  <si>
    <t>D2627</t>
  </si>
  <si>
    <t>A2222</t>
  </si>
  <si>
    <t>C6144</t>
  </si>
  <si>
    <t>AQG22212</t>
  </si>
  <si>
    <t>CA3161E</t>
  </si>
  <si>
    <t>CA3162E</t>
  </si>
  <si>
    <t>A1941</t>
  </si>
  <si>
    <t>C5198</t>
  </si>
  <si>
    <t>B688</t>
  </si>
  <si>
    <t>D718</t>
  </si>
  <si>
    <t>2N6027</t>
  </si>
  <si>
    <t>D1047</t>
  </si>
  <si>
    <t>B817</t>
  </si>
  <si>
    <t>A1011</t>
  </si>
  <si>
    <t>LM2596</t>
  </si>
  <si>
    <t>LM2575T-05</t>
  </si>
  <si>
    <t>LM2575T-12</t>
  </si>
  <si>
    <t>LM2576-12</t>
  </si>
  <si>
    <t>LM2576-5</t>
  </si>
  <si>
    <t>LM2576</t>
  </si>
  <si>
    <t>NORMAL PEDIR</t>
  </si>
  <si>
    <t>TT2222</t>
  </si>
  <si>
    <t>TT2140</t>
  </si>
  <si>
    <t>TT2170</t>
  </si>
  <si>
    <t>BD533</t>
  </si>
  <si>
    <t>BD538</t>
  </si>
  <si>
    <t>TIP3055</t>
  </si>
  <si>
    <t>TIP2955</t>
  </si>
  <si>
    <t>TIP107</t>
  </si>
  <si>
    <t>TRIMPOT HORIZONTAL 5K</t>
  </si>
  <si>
    <t>TRIMPOT HORIZONTAL 10K</t>
  </si>
  <si>
    <t>TRIMPOT HORIZONTAL 50K</t>
  </si>
  <si>
    <t>TRIMPOT HORIZONTAL 100K</t>
  </si>
  <si>
    <t>BROCA 0,7MM</t>
  </si>
  <si>
    <t>BROCA 0,8MM</t>
  </si>
  <si>
    <t>BROCA 1MM</t>
  </si>
  <si>
    <t>TRIMMER  5-60PF</t>
  </si>
  <si>
    <t>SENSOR EFECTO HALL 49E</t>
  </si>
  <si>
    <t>49E</t>
  </si>
  <si>
    <t>SENSOR EFECTO HALL DN6851</t>
  </si>
  <si>
    <t>SMD AX5201</t>
  </si>
  <si>
    <t>STB</t>
  </si>
  <si>
    <t>SMD MP8125</t>
  </si>
  <si>
    <t>FUSIBLE TERMICO 240ºC</t>
  </si>
  <si>
    <t>10A</t>
  </si>
  <si>
    <t>FUSIBLE TERMICO 192ºC</t>
  </si>
  <si>
    <t>FUSIBLE TERMICO 1260ºC</t>
  </si>
  <si>
    <t>TRIMPOT VERTICAL 101</t>
  </si>
  <si>
    <t>100 OHM</t>
  </si>
  <si>
    <t>TRIMPOT VERTICAL 501</t>
  </si>
  <si>
    <t>500 OHM</t>
  </si>
  <si>
    <t>1K OHM</t>
  </si>
  <si>
    <t>TRIMPOT VERTICAL 202</t>
  </si>
  <si>
    <t>2K OHM</t>
  </si>
  <si>
    <t>TRIMPOT VERTICAL 102</t>
  </si>
  <si>
    <t>TRIMPOT VERTICAL 502</t>
  </si>
  <si>
    <t>5K OHM</t>
  </si>
  <si>
    <t>TRIMPOT VERTICAL 103</t>
  </si>
  <si>
    <t>10K OHM</t>
  </si>
  <si>
    <t>TRIMPOT VERTICAL 203</t>
  </si>
  <si>
    <t>20K OHM</t>
  </si>
  <si>
    <t>TRIMPOT VERTICAL 503</t>
  </si>
  <si>
    <t>50K OHM</t>
  </si>
  <si>
    <t>TRIMPOT VERTICAL 104</t>
  </si>
  <si>
    <t>100K  OHM</t>
  </si>
  <si>
    <t>TRIMPOT VERTICAL 204</t>
  </si>
  <si>
    <t>200K OHM</t>
  </si>
  <si>
    <t>TRIMPOT PERILLA 501</t>
  </si>
  <si>
    <t>TRIMPOT PERILLA 102</t>
  </si>
  <si>
    <t>TRIMPOT PERILLA 502</t>
  </si>
  <si>
    <t>TRIMPOT PERILLA 103</t>
  </si>
  <si>
    <t>TRIMPOT PERILLA 203</t>
  </si>
  <si>
    <t>TRIMPOT PERILLA 503</t>
  </si>
  <si>
    <t>TRIMPOT PERILLA 104</t>
  </si>
  <si>
    <t>TRIMPOT PERILLA 504</t>
  </si>
  <si>
    <t>500K OHM</t>
  </si>
  <si>
    <t>TRIMPOT PERILLA 105</t>
  </si>
  <si>
    <t>1M OHM</t>
  </si>
  <si>
    <t>TRIMPOT 1K</t>
  </si>
  <si>
    <t>TRIMPOT 5K</t>
  </si>
  <si>
    <t>TRIMPOT 10K</t>
  </si>
  <si>
    <t>TRIMPOT 20K</t>
  </si>
  <si>
    <t>TRIMPOT 50K</t>
  </si>
  <si>
    <t>TRIMPOT 100K</t>
  </si>
  <si>
    <t>TRIMPOT 200K</t>
  </si>
  <si>
    <t>TRIMPOT 500K</t>
  </si>
  <si>
    <t>TRIMPOT 1M</t>
  </si>
  <si>
    <t>LED MULTICOLOR</t>
  </si>
  <si>
    <t>DESTELLANTE INTERMITENTE RGB</t>
  </si>
  <si>
    <t>IR LED RX</t>
  </si>
  <si>
    <t>LED INFRARROJO RECEPTOR</t>
  </si>
  <si>
    <t>FUSIBLE TERMICO 109ºC</t>
  </si>
  <si>
    <t>FUSIBLE TERMICO 130ºC</t>
  </si>
  <si>
    <t>2A  DELGADO  BLANCO FUS PARA BOBINA</t>
  </si>
  <si>
    <t>2A NEGRO PARA BOBINA DE VENTILADOR</t>
  </si>
  <si>
    <t>FUSIBLE TERMICO 100ºC</t>
  </si>
  <si>
    <t>IGBT RJH60F5DPK</t>
  </si>
  <si>
    <t>IGBT RJP63F3</t>
  </si>
  <si>
    <t>IGBT N 630V/40A/30W</t>
  </si>
  <si>
    <t>IGBT RJP63K2DPP</t>
  </si>
  <si>
    <t>IGBT N 630V/35A</t>
  </si>
  <si>
    <t>IGBT IRG4PC40FD</t>
  </si>
  <si>
    <t>IGBT IRGB4062D</t>
  </si>
  <si>
    <t>IGBT IRGP4066DP</t>
  </si>
  <si>
    <t>MOSFET N, 40V/162A</t>
  </si>
  <si>
    <t>MOSFET IRF1404</t>
  </si>
  <si>
    <t>MOSFET N, 55V/169A/300W</t>
  </si>
  <si>
    <t>MOSFET IRF1407</t>
  </si>
  <si>
    <t>MOSFET IRF1405BF</t>
  </si>
  <si>
    <t>MOSFET N, 75V/130A</t>
  </si>
  <si>
    <t>MOSFET N, 55V/110A</t>
  </si>
  <si>
    <t>MOSFET IRF3205</t>
  </si>
  <si>
    <t>MOSFET IRF4905PBF</t>
  </si>
  <si>
    <t>MOSFET P , VDSS -55V,ID -74A</t>
  </si>
  <si>
    <t>MOSFET N, 100V/17A</t>
  </si>
  <si>
    <t>MOSFET IRF530</t>
  </si>
  <si>
    <t>MOSFET IRF540N</t>
  </si>
  <si>
    <t>MOSFET IRF630N</t>
  </si>
  <si>
    <t>MOSFET IRF634N</t>
  </si>
  <si>
    <t>MOSFET IRF640N</t>
  </si>
  <si>
    <t>MOSFET IRF730</t>
  </si>
  <si>
    <t>MOSFET IRF740</t>
  </si>
  <si>
    <t>MOSFET IRF830</t>
  </si>
  <si>
    <t>MOSFET IRF840</t>
  </si>
  <si>
    <t>MOSFET IRF9530NPBF</t>
  </si>
  <si>
    <t>MOSFET N, 100V/28A</t>
  </si>
  <si>
    <t>MOSFET N, 200V/9A</t>
  </si>
  <si>
    <t>MOSFET N, 250V/8.1V</t>
  </si>
  <si>
    <t>MOSFET N, 200V/18A</t>
  </si>
  <si>
    <t>MOSFET N, 400V/5.5A</t>
  </si>
  <si>
    <t>MOSFET N, 400V/10A</t>
  </si>
  <si>
    <t>MOSFET N, 500V/5A</t>
  </si>
  <si>
    <t>MOSFET N, 500V/8A</t>
  </si>
  <si>
    <t>MOSFET P, 100V/12A</t>
  </si>
  <si>
    <t>MOSFET IRF9540</t>
  </si>
  <si>
    <t>MOSFET IRF9630</t>
  </si>
  <si>
    <t>MOSFET IRFB31N20D</t>
  </si>
  <si>
    <t>MOSFET IRFB4227</t>
  </si>
  <si>
    <t>MOSFET IRFP250NPBF</t>
  </si>
  <si>
    <t>MOSFET IRFP260</t>
  </si>
  <si>
    <t>MOSFET P, 100V/19A</t>
  </si>
  <si>
    <t>MOSFET P, 200V/6.5A</t>
  </si>
  <si>
    <t>MOSFET N, 200V/31A/200W</t>
  </si>
  <si>
    <t>MOSFET N, 200V/ 130A</t>
  </si>
  <si>
    <t>MOSFET N, 200V/33A</t>
  </si>
  <si>
    <t>MOSFET N, 200V/50A</t>
  </si>
  <si>
    <t>MOSFET N, 200V/65A</t>
  </si>
  <si>
    <t>MOSFET N, 500V/20A</t>
  </si>
  <si>
    <t>MOSFET N, 60V/46A/250W</t>
  </si>
  <si>
    <t>MOSFET N, 55V/46A</t>
  </si>
  <si>
    <t>MOSFET N, 60V/50A</t>
  </si>
  <si>
    <t>MOSFET IRFP4227</t>
  </si>
  <si>
    <t>MOSFET IRFP460A</t>
  </si>
  <si>
    <t>MOSFET IRFZ44N</t>
  </si>
  <si>
    <t>MOSFET IRFZ46N</t>
  </si>
  <si>
    <t>MOSFET IRFZ48N</t>
  </si>
  <si>
    <t>MOSFET IRLZ44NP</t>
  </si>
  <si>
    <t>MOSFET N, 55V/47A</t>
  </si>
  <si>
    <t>MOSFET P10NK80ZFP</t>
  </si>
  <si>
    <t>MOSFET N, 800V/9A ZENER PROTECT</t>
  </si>
  <si>
    <t>MOSFET P5NK50ZFP</t>
  </si>
  <si>
    <t>MOSFET N, 500V/4.4A ZENER PROTECT</t>
  </si>
  <si>
    <t>MOSFET P5NK80ZFP</t>
  </si>
  <si>
    <t>MOSFET P7NK80ZFP</t>
  </si>
  <si>
    <t>MOSFET N, 800V/4.3A ZENER PROTECT</t>
  </si>
  <si>
    <t>MOSFET N, 800V/5.2A ZENER PROTECT</t>
  </si>
  <si>
    <t>MOSFET RFP50N06</t>
  </si>
  <si>
    <t>MOSFET N, 50V/50A</t>
  </si>
  <si>
    <t>MOSFET W45NM60</t>
  </si>
  <si>
    <t>MOSFET N, 650V/45A</t>
  </si>
  <si>
    <t>NPN , 400V/12A</t>
  </si>
  <si>
    <t>IGBT GW60V60DF</t>
  </si>
  <si>
    <t>IGBT FGA60N65</t>
  </si>
  <si>
    <t>IGBT FGH40T120Q</t>
  </si>
  <si>
    <t>MOSFET F13NK50Z</t>
  </si>
  <si>
    <t>MOSFET N, 500V/11A</t>
  </si>
  <si>
    <t>MOSFET CS630F</t>
  </si>
  <si>
    <t>MOSFET N, 800V/17A</t>
  </si>
  <si>
    <t>MOSFET 17N80C3</t>
  </si>
  <si>
    <t>MOSFET 11N80C3</t>
  </si>
  <si>
    <t>MOSFET N, 800V/11A</t>
  </si>
  <si>
    <t>MOSFET 11N65C3</t>
  </si>
  <si>
    <t>MOSFET N, 650V/11A</t>
  </si>
  <si>
    <t>RELE ESTADO SOLIDO 12V</t>
  </si>
  <si>
    <t>MOSFET K10A60D</t>
  </si>
  <si>
    <t>MOSFET N, 600V/10A</t>
  </si>
  <si>
    <t>TRIAC BT131-600</t>
  </si>
  <si>
    <t>600V/1A</t>
  </si>
  <si>
    <t>TRIAC BT136-600</t>
  </si>
  <si>
    <t>600V/4A</t>
  </si>
  <si>
    <t>TRIAC BT137-600E</t>
  </si>
  <si>
    <t>TRIAC BT138-600E</t>
  </si>
  <si>
    <t>TRIAC BT139-600F</t>
  </si>
  <si>
    <t>600V/8A</t>
  </si>
  <si>
    <t>600V/12A</t>
  </si>
  <si>
    <t>600V/16A</t>
  </si>
  <si>
    <t>800V/12A</t>
  </si>
  <si>
    <t>SCR BT151-500R</t>
  </si>
  <si>
    <t>800V/13A</t>
  </si>
  <si>
    <t>SCR BT152-800R</t>
  </si>
  <si>
    <t>TRIAC BTA06-600C</t>
  </si>
  <si>
    <t>600V/6A</t>
  </si>
  <si>
    <t>TRIAC BTA12-600</t>
  </si>
  <si>
    <t>800V/16A</t>
  </si>
  <si>
    <t>600V/20A</t>
  </si>
  <si>
    <t>600V/24A</t>
  </si>
  <si>
    <t>600V/40A</t>
  </si>
  <si>
    <t>800V/10A</t>
  </si>
  <si>
    <t>TRIAC BTA16-600B</t>
  </si>
  <si>
    <t>TRIAC BTA16-800B</t>
  </si>
  <si>
    <t>TRIAC BTA20-600B</t>
  </si>
  <si>
    <t>600V/26A</t>
  </si>
  <si>
    <t>TRIAC BTA26600B</t>
  </si>
  <si>
    <t>TRIAC BTA40-600</t>
  </si>
  <si>
    <t>TRIAC BTA41-600</t>
  </si>
  <si>
    <t>TRIAC BTB08-600B</t>
  </si>
  <si>
    <t>TRIAC BTB10-800W</t>
  </si>
  <si>
    <t>TRIAC BTB12-600</t>
  </si>
  <si>
    <t>TRIAC BTB24-600B</t>
  </si>
  <si>
    <t>600V/2.55A</t>
  </si>
  <si>
    <t>SCR C106M</t>
  </si>
  <si>
    <t>SCR S8012R</t>
  </si>
  <si>
    <t>SCR CS19-12H01</t>
  </si>
  <si>
    <t>SCR 40TP512A</t>
  </si>
  <si>
    <t>NPN , 40/600mA</t>
  </si>
  <si>
    <t>UJT</t>
  </si>
  <si>
    <t>SCR TYN1025</t>
  </si>
  <si>
    <t>1000V/25V</t>
  </si>
  <si>
    <t>SCR TYN612</t>
  </si>
  <si>
    <t>SCR TYN616</t>
  </si>
  <si>
    <t>DIODO 1N4004</t>
  </si>
  <si>
    <t>D1</t>
  </si>
  <si>
    <t>RECTIFICADOR 400V/1A</t>
  </si>
  <si>
    <t>DIODO 1N4007</t>
  </si>
  <si>
    <t>RECTIFICADOR 1000V/1A</t>
  </si>
  <si>
    <t xml:space="preserve">DIODO TVR10G </t>
  </si>
  <si>
    <t>FAST SWITCHING 600V/1A</t>
  </si>
  <si>
    <t>DIODO 1N4148</t>
  </si>
  <si>
    <t>D2</t>
  </si>
  <si>
    <t>RECUPERACION RAPIDA 100V/200mA</t>
  </si>
  <si>
    <t>DIODO 1N4944</t>
  </si>
  <si>
    <t>FAST RECOVERY 400V/1A</t>
  </si>
  <si>
    <t>DIODO 1N60</t>
  </si>
  <si>
    <t>DIODO DE GERMANIO 100V/50mA</t>
  </si>
  <si>
    <t>DIODO 1.5KE220A</t>
  </si>
  <si>
    <t>SUPRESOR DE VOLTAJE 440V/200A/1500W</t>
  </si>
  <si>
    <t>DIODO P6KE300</t>
  </si>
  <si>
    <t>SUPRESOR DE VOLTAJE 440V/243V/600W</t>
  </si>
  <si>
    <t>DIODO HER207</t>
  </si>
  <si>
    <t>D3</t>
  </si>
  <si>
    <t>800V/2A</t>
  </si>
  <si>
    <t>DIODO 1N34</t>
  </si>
  <si>
    <t>RECUPERACION RAPIDA 175V/0,5A</t>
  </si>
  <si>
    <t>DIODO 1N914</t>
  </si>
  <si>
    <t>RECUPERACION RAPIDA 75V/200mA</t>
  </si>
  <si>
    <t>DIODO PCK136</t>
  </si>
  <si>
    <t>D4</t>
  </si>
  <si>
    <t>PEAK CLAMP 700V/1,5W</t>
  </si>
  <si>
    <t>DIODO HER308</t>
  </si>
  <si>
    <t>1000V/3A</t>
  </si>
  <si>
    <t>DIODO FR307</t>
  </si>
  <si>
    <t>FAST RECOVERY 1000V/3A</t>
  </si>
  <si>
    <t xml:space="preserve">DIODO DAMPER </t>
  </si>
  <si>
    <t>DIODO BYV26C</t>
  </si>
  <si>
    <t>DIODO AVALANCHA 600V/1A</t>
  </si>
  <si>
    <t>DIODO 1N5408</t>
  </si>
  <si>
    <t>D5</t>
  </si>
  <si>
    <t>RECTIFICADOR  1000V/3A</t>
  </si>
  <si>
    <t>DIODO 1N5399</t>
  </si>
  <si>
    <t>RECTIFICADOR 1000V/1,5A</t>
  </si>
  <si>
    <t>DIODO RL207</t>
  </si>
  <si>
    <t>RECTIFICADOR 1000V/2A</t>
  </si>
  <si>
    <t>DIODO BAT85</t>
  </si>
  <si>
    <t>D6</t>
  </si>
  <si>
    <t>SCHOTTKY BARRIER  30V/5A</t>
  </si>
  <si>
    <t>DIODO SB560</t>
  </si>
  <si>
    <t>SCHOTTKY BARRIER  60V/5A</t>
  </si>
  <si>
    <t>DIODO 1N5822</t>
  </si>
  <si>
    <t>SCHOTTKY BARRIER  40V/3A</t>
  </si>
  <si>
    <t>DIODO 1N5819</t>
  </si>
  <si>
    <t>SCHOTTKY BARRIER  40V/1A</t>
  </si>
  <si>
    <t>DIODO SB5150</t>
  </si>
  <si>
    <t>SCHOTTKY BARRIER  150V/5A</t>
  </si>
  <si>
    <t>DIODO MUR460</t>
  </si>
  <si>
    <t>D7</t>
  </si>
  <si>
    <t>ULTRA FAST RECTIFIER 600V/4A</t>
  </si>
  <si>
    <t>DIODO MUR560</t>
  </si>
  <si>
    <t>ULTRA FAST RECTIFIER 600V/5A</t>
  </si>
  <si>
    <t>DIODO MUR1560</t>
  </si>
  <si>
    <t>ULTRA FAST RECTIFIER 600V/15A</t>
  </si>
  <si>
    <t>SCHOTTKY BARRIER  150V/3A</t>
  </si>
  <si>
    <t>DIODO SR4416</t>
  </si>
  <si>
    <t>ZENER 27V/5W</t>
  </si>
  <si>
    <t>DIODO DB3</t>
  </si>
  <si>
    <t>D8</t>
  </si>
  <si>
    <t>DIAC</t>
  </si>
  <si>
    <t>DIODO HER205</t>
  </si>
  <si>
    <t>400V/2A</t>
  </si>
  <si>
    <t>DIODO FR107</t>
  </si>
  <si>
    <t>FAST RECOVERY 1000V/1A</t>
  </si>
  <si>
    <t>DIODO FR157</t>
  </si>
  <si>
    <t>FAST RECOVERY 1000V/1,5A</t>
  </si>
  <si>
    <t>DIODO KBU810</t>
  </si>
  <si>
    <t>DIODO PUENTE 1000V/8A</t>
  </si>
  <si>
    <t>DIODO 6A10</t>
  </si>
  <si>
    <t>D9</t>
  </si>
  <si>
    <t>RECTIFICADOR 1000V/6A</t>
  </si>
  <si>
    <t>DIODO 10A10</t>
  </si>
  <si>
    <t>RECTIFICADOR 1000V/10A</t>
  </si>
  <si>
    <t>DIODO RU4AM</t>
  </si>
  <si>
    <t>D10</t>
  </si>
  <si>
    <t>FAST RECOVERY 400V/2A</t>
  </si>
  <si>
    <t>DIODO BA159</t>
  </si>
  <si>
    <t>FAST SWITCHING 1000V/1A</t>
  </si>
  <si>
    <t>DIODO BA158</t>
  </si>
  <si>
    <t>DIODO UF4007</t>
  </si>
  <si>
    <t>ULTRA FAST RECOVERY 1000V/1A</t>
  </si>
  <si>
    <t>DIODO UF4004</t>
  </si>
  <si>
    <t>ULTRA FAST RECOVERY 400V/1A</t>
  </si>
  <si>
    <t>DIODO 2W10</t>
  </si>
  <si>
    <t>D11</t>
  </si>
  <si>
    <t>DIODO PUENTE 1000V/2A</t>
  </si>
  <si>
    <t>DIODO PUENTE 1000V/3A</t>
  </si>
  <si>
    <t>DIODO KBU1010</t>
  </si>
  <si>
    <t>D12</t>
  </si>
  <si>
    <t>DIODO PUENTE 1000V/10A</t>
  </si>
  <si>
    <t>DIODO GBJ2510</t>
  </si>
  <si>
    <t>DIODO PUENTE 1000V/25A</t>
  </si>
  <si>
    <t>DIODO DF10</t>
  </si>
  <si>
    <t>DIODO PUENTE 1000V/1A CHICO</t>
  </si>
  <si>
    <t>MOSFET K1288</t>
  </si>
  <si>
    <t>M21</t>
  </si>
  <si>
    <t>MOSFET N, 100V/15A</t>
  </si>
  <si>
    <t>MOSFET K2996</t>
  </si>
  <si>
    <t>MOSFET K2313</t>
  </si>
  <si>
    <t>MOSFET N, 60V/60A</t>
  </si>
  <si>
    <t>MOSFET K2843</t>
  </si>
  <si>
    <t>MOSFET K3271</t>
  </si>
  <si>
    <t>MOSFET N, 60V/100A</t>
  </si>
  <si>
    <t>MOSFET K2500</t>
  </si>
  <si>
    <t>MOSFET K903</t>
  </si>
  <si>
    <t>MOSFET N,  800V/3A</t>
  </si>
  <si>
    <t>MOSFET 1507</t>
  </si>
  <si>
    <t>MOSFET N, 600V/9A</t>
  </si>
  <si>
    <t>MOSFET K3053</t>
  </si>
  <si>
    <t>MOSFET P, 60V/25A</t>
  </si>
  <si>
    <t>MOSFET K2645</t>
  </si>
  <si>
    <t>E13009</t>
  </si>
  <si>
    <t>M29</t>
  </si>
  <si>
    <t>E13005</t>
  </si>
  <si>
    <t>E13007</t>
  </si>
  <si>
    <t>MJE13003</t>
  </si>
  <si>
    <t>STRG6352</t>
  </si>
  <si>
    <t>STRG6153</t>
  </si>
  <si>
    <t>TOP257PN</t>
  </si>
  <si>
    <t>5M0365R</t>
  </si>
  <si>
    <t>TDA7292</t>
  </si>
  <si>
    <t>SMD 4558D</t>
  </si>
  <si>
    <t>LAVADORA INVERTER</t>
  </si>
  <si>
    <t>SMD A393F</t>
  </si>
  <si>
    <t>LM358P</t>
  </si>
  <si>
    <t>MOSFET FQPF20N60</t>
  </si>
  <si>
    <t>DIODO MBR30100PT</t>
  </si>
  <si>
    <t>TRIAC BTA416Y800B</t>
  </si>
  <si>
    <t>TOP258PN</t>
  </si>
  <si>
    <t>AQH3223</t>
  </si>
  <si>
    <t>MX0841</t>
  </si>
  <si>
    <t>M18</t>
  </si>
  <si>
    <t>TRIAC SMD 25A 800V</t>
  </si>
  <si>
    <t>SMD TRIAC 204S8E</t>
  </si>
  <si>
    <t>AC LINE SWITCH</t>
  </si>
  <si>
    <t>ACS1207S  TIP</t>
  </si>
  <si>
    <t>IC DE ECU- AUTOMOVIL</t>
  </si>
  <si>
    <t>VIPER26L</t>
  </si>
  <si>
    <t>MOC3011</t>
  </si>
  <si>
    <t>CM8870PI</t>
  </si>
  <si>
    <t>LM723CN</t>
  </si>
  <si>
    <t>ICE2A265</t>
  </si>
  <si>
    <t>BCR20PM</t>
  </si>
  <si>
    <t>MOSFET IRFP150NPBF</t>
  </si>
  <si>
    <t>NEC2581A</t>
  </si>
  <si>
    <t>VIPER06X</t>
  </si>
  <si>
    <t>IRFB3206</t>
  </si>
  <si>
    <t>LD1117V33</t>
  </si>
  <si>
    <t>3,3V  0,8A</t>
  </si>
  <si>
    <t>YD1517P</t>
  </si>
  <si>
    <t>YD2026B</t>
  </si>
  <si>
    <t>JCS24N50WH</t>
  </si>
  <si>
    <t>VIPER20A</t>
  </si>
  <si>
    <t>MCR100-6</t>
  </si>
  <si>
    <t>SMD CS83601E</t>
  </si>
  <si>
    <t>SMD CS83501E</t>
  </si>
  <si>
    <t>INVERTER FSBS15CH60F</t>
  </si>
  <si>
    <t>INVERTER PS21997-AST</t>
  </si>
  <si>
    <t>INVERTER SIM6822M</t>
  </si>
  <si>
    <t>INVERTER PS21964-4S</t>
  </si>
  <si>
    <t>INVERTER IKCM15F60GA</t>
  </si>
  <si>
    <t>INVERTER IGCM04G60HA</t>
  </si>
  <si>
    <t>MOSFET 13NM60N</t>
  </si>
  <si>
    <t>SMD CS5230E</t>
  </si>
  <si>
    <t>Q100</t>
  </si>
  <si>
    <t>ICE3B0365J</t>
  </si>
  <si>
    <t>DIODO DOBLE SCHOTTKY RECTIFIER  45V,10AX2</t>
  </si>
  <si>
    <t>DIODO STPS2045CT</t>
  </si>
  <si>
    <t>BDX33C</t>
  </si>
  <si>
    <t>BDX53C</t>
  </si>
  <si>
    <t>DARLINGTON NPN, 100V, 10-15A</t>
  </si>
  <si>
    <t>DARLINGTON NPN, 100V, 8-12A</t>
  </si>
  <si>
    <t>D1590</t>
  </si>
  <si>
    <t>DARLINGTON NPN 100V, 8-12A</t>
  </si>
  <si>
    <t>MOSFET K15A10D</t>
  </si>
  <si>
    <t>CANAL N. 15A, 600V</t>
  </si>
  <si>
    <t>LNK626PG</t>
  </si>
  <si>
    <t>IR2113S</t>
  </si>
  <si>
    <t>DIODO SB5200</t>
  </si>
  <si>
    <t>SCHOTTKY BARRIER 5A, 200V</t>
  </si>
  <si>
    <t>SMD SM1251</t>
  </si>
  <si>
    <t>SMD CS8508E</t>
  </si>
  <si>
    <t>HS38B4</t>
  </si>
  <si>
    <t>IR TRES PIN A/C SAMSUNG</t>
  </si>
  <si>
    <t>BC546B</t>
  </si>
  <si>
    <t>DIODO MUR6030</t>
  </si>
  <si>
    <t>M2LZ47</t>
  </si>
  <si>
    <t>SMD CS5026E</t>
  </si>
  <si>
    <t>SMD ANT8823</t>
  </si>
  <si>
    <t>MJE350</t>
  </si>
  <si>
    <t>SMD NCP1653A</t>
  </si>
  <si>
    <t>SMD HT8693SP</t>
  </si>
  <si>
    <t>ICE2QR2280Z</t>
  </si>
  <si>
    <t>B1205S-W</t>
  </si>
  <si>
    <t>b</t>
  </si>
  <si>
    <t>TNY267PN</t>
  </si>
  <si>
    <t>AT89C52</t>
  </si>
  <si>
    <t>MOSFET CANAL N 17A, 55V</t>
  </si>
  <si>
    <t>MOSFET IRFZ24N</t>
  </si>
  <si>
    <t>TRIAC 8A , 800V</t>
  </si>
  <si>
    <t>TRIAC BTA412Y-800B</t>
  </si>
  <si>
    <t>TRIAC BTA208X-1000 C0</t>
  </si>
  <si>
    <t>SM7505</t>
  </si>
  <si>
    <t>IGBT 8201AG</t>
  </si>
  <si>
    <t>NGD8201AG IGBT 20A, 400V, SMD</t>
  </si>
  <si>
    <t>SMD 25N06-45L</t>
  </si>
  <si>
    <t>SMD MOSFET CANAL N 25A, 60V</t>
  </si>
  <si>
    <t>BF245</t>
  </si>
  <si>
    <t>TNY276PN</t>
  </si>
  <si>
    <t>PAL014A</t>
  </si>
  <si>
    <t>P1063A060</t>
  </si>
  <si>
    <t>BD240C</t>
  </si>
  <si>
    <t>PNP, 30W, 2A, 100V</t>
  </si>
  <si>
    <t>BD239C</t>
  </si>
  <si>
    <t>NPN, 30W, 2A, 100V</t>
  </si>
  <si>
    <t>C2078</t>
  </si>
  <si>
    <t>NPN, ,10W, 3A, 80V</t>
  </si>
  <si>
    <t>REGULADOR 3,3V</t>
  </si>
  <si>
    <t>AMS1117-3,3V</t>
  </si>
  <si>
    <t>AMS1117-5,0V</t>
  </si>
  <si>
    <t>17-50  REGULADOR 5V</t>
  </si>
  <si>
    <t>SMD LM358P</t>
  </si>
  <si>
    <t>A6372</t>
  </si>
  <si>
    <t>JRC4580</t>
  </si>
  <si>
    <t>2SK1297</t>
  </si>
  <si>
    <t>2SJ27</t>
  </si>
  <si>
    <t>PRESOSTATO</t>
  </si>
  <si>
    <t>ADP51B63</t>
  </si>
  <si>
    <t>SMD LNK364DN</t>
  </si>
  <si>
    <t>MOSFET CANAL P 30V, -10.5A</t>
  </si>
  <si>
    <t>SMD AO4435</t>
  </si>
  <si>
    <t>SMD HT8691SP</t>
  </si>
  <si>
    <t>SMD LM741CMX</t>
  </si>
  <si>
    <t>MOSFET IRF520</t>
  </si>
  <si>
    <t>100V , 9A</t>
  </si>
  <si>
    <t>INVERTER FNB41060</t>
  </si>
  <si>
    <t>SMD UC3843B</t>
  </si>
  <si>
    <t>SENSOR DE TEMPERTATURA</t>
  </si>
  <si>
    <t>LM335DZ</t>
  </si>
  <si>
    <t>AH3144E</t>
  </si>
  <si>
    <t>SENSOR DIGITAL HALL</t>
  </si>
  <si>
    <t>SENSOR ANALOGICO HALL</t>
  </si>
  <si>
    <t>CS5173E</t>
  </si>
  <si>
    <t>NTC TERMISTOR 10K</t>
  </si>
  <si>
    <t>T405Q-600</t>
  </si>
  <si>
    <t>TRIAC 4A, 600V</t>
  </si>
  <si>
    <t>A1</t>
  </si>
  <si>
    <t>RELAY CHICO 12V X 5A  4 PIN</t>
  </si>
  <si>
    <t>RELAY HF46F 12-HS1</t>
  </si>
  <si>
    <t>RELAY SJ-S-112DM</t>
  </si>
  <si>
    <t>RELAY HF32FA  012-HSL1</t>
  </si>
  <si>
    <t>RELAY HF33F 024-ZS3</t>
  </si>
  <si>
    <t>RELAY CHICO 12V X 5A  5 PIN</t>
  </si>
  <si>
    <t>RELAY SM-S-112L</t>
  </si>
  <si>
    <t>RELAY AZUL GRANDE 12V 10A 5 PIN</t>
  </si>
  <si>
    <t>TDA7057AQ</t>
  </si>
  <si>
    <t>TTL HD74LS07P</t>
  </si>
  <si>
    <t>RELAY RT314024</t>
  </si>
  <si>
    <t>A2</t>
  </si>
  <si>
    <t xml:space="preserve">RELAY NARANJA DE 8 PIN </t>
  </si>
  <si>
    <t>RELAY RT314012</t>
  </si>
  <si>
    <t>D1071</t>
  </si>
  <si>
    <t>EO9A92GA</t>
  </si>
  <si>
    <t>SCR BT151-800R</t>
  </si>
  <si>
    <t>800V/7.5A</t>
  </si>
  <si>
    <t>500V/7.5A</t>
  </si>
  <si>
    <t>DIODO ABS10</t>
  </si>
  <si>
    <t>SMD,  1A , 1000V</t>
  </si>
  <si>
    <t>LF33V</t>
  </si>
  <si>
    <t>MIP532</t>
  </si>
  <si>
    <t>IRF630MFP</t>
  </si>
  <si>
    <t>RFP60N06</t>
  </si>
  <si>
    <t>LNK8K08</t>
  </si>
  <si>
    <t>A6059H</t>
  </si>
  <si>
    <t>BC213</t>
  </si>
  <si>
    <t>LA78040</t>
  </si>
  <si>
    <t>D1414</t>
  </si>
  <si>
    <t>DARLINGTON 4A, 100V</t>
  </si>
  <si>
    <t>R3BMF5</t>
  </si>
  <si>
    <t>4N33</t>
  </si>
  <si>
    <t>LNK564PN</t>
  </si>
  <si>
    <t>T835T-6I</t>
  </si>
  <si>
    <t>TRIAC 8A , 600V</t>
  </si>
  <si>
    <t>IRF3710</t>
  </si>
  <si>
    <t>MOSFET N  46A, 100V</t>
  </si>
  <si>
    <t>TAS5342A</t>
  </si>
  <si>
    <t>TOP268VG</t>
  </si>
  <si>
    <t>INVERTER 6MBP30XSF060-50</t>
  </si>
  <si>
    <t>INVERTER PS21963-4S</t>
  </si>
  <si>
    <t>INVERTER STK621-140B</t>
  </si>
  <si>
    <t>INVERTER STK621-727S</t>
  </si>
  <si>
    <t>TOP223YN</t>
  </si>
  <si>
    <t>MOSFET N ,23A, 400V</t>
  </si>
  <si>
    <t>MOSFET IRFP360</t>
  </si>
  <si>
    <t>DIODO MUR2060CT</t>
  </si>
  <si>
    <t>2N4401</t>
  </si>
  <si>
    <t>C3198</t>
  </si>
  <si>
    <t>TRIAC  8A, 600V</t>
  </si>
  <si>
    <t>SMD TRIAC T810-600B</t>
  </si>
  <si>
    <t>C2705</t>
  </si>
  <si>
    <t>KBL-48ZWT05-1202A</t>
  </si>
  <si>
    <t>V</t>
  </si>
  <si>
    <t>IRS2092S</t>
  </si>
  <si>
    <t>MOC3023</t>
  </si>
  <si>
    <t>TIC226D</t>
  </si>
  <si>
    <t>GIPS10K60A</t>
  </si>
  <si>
    <t>TTL HD74LS85P</t>
  </si>
  <si>
    <t>VITRINA</t>
  </si>
  <si>
    <t>DIODO SR2200</t>
  </si>
  <si>
    <t>SG3525AD</t>
  </si>
  <si>
    <t>FCBS0550</t>
  </si>
  <si>
    <t>FQPF8N80C</t>
  </si>
  <si>
    <t>TTL SN74LS260N</t>
  </si>
  <si>
    <t>TTL SN74LS279N</t>
  </si>
  <si>
    <t>CMOS 4030</t>
  </si>
  <si>
    <t>TIP101 G</t>
  </si>
  <si>
    <t>STRW6253</t>
  </si>
  <si>
    <t>BS0505-1W</t>
  </si>
  <si>
    <t>SMD TL431CDR</t>
  </si>
  <si>
    <t>IGBT FGL40N120</t>
  </si>
  <si>
    <t>40A, 1200V</t>
  </si>
  <si>
    <t>MC34151P</t>
  </si>
  <si>
    <t>1200AP100</t>
  </si>
  <si>
    <t>EQUIVALENTE MC1723CP</t>
  </si>
  <si>
    <t>TTL SN74LS393</t>
  </si>
  <si>
    <t>TLP521</t>
  </si>
  <si>
    <t>FR985</t>
  </si>
  <si>
    <t>1.5KE400CA</t>
  </si>
  <si>
    <t>BC549C</t>
  </si>
  <si>
    <t>HAA9811</t>
  </si>
  <si>
    <t>CS8673E</t>
  </si>
  <si>
    <t>RGP02-20E</t>
  </si>
  <si>
    <t>IR2153S</t>
  </si>
  <si>
    <t>LTH17</t>
  </si>
  <si>
    <t>comple b1015</t>
  </si>
  <si>
    <t>MODULOS Y PLACAS ARDUINO</t>
  </si>
  <si>
    <t>DECRIPCION</t>
  </si>
  <si>
    <t>433MHZ</t>
  </si>
  <si>
    <t>HC-12</t>
  </si>
  <si>
    <t>PAM8403</t>
  </si>
  <si>
    <t>PAM8403 C/ BLUETOOTH</t>
  </si>
  <si>
    <t>PAM8610</t>
  </si>
  <si>
    <t>MODULO CON POTENCIOMETRO</t>
  </si>
  <si>
    <t>TDA2030 MODULO</t>
  </si>
  <si>
    <t>12W MONO</t>
  </si>
  <si>
    <t>15W ESTEREO</t>
  </si>
  <si>
    <t>4CH  41W</t>
  </si>
  <si>
    <t>TPA3116  XH-573</t>
  </si>
  <si>
    <t>2.1</t>
  </si>
  <si>
    <t>TPA3118</t>
  </si>
  <si>
    <t>60W MONO</t>
  </si>
  <si>
    <t>TPA3118D2  XH-M312</t>
  </si>
  <si>
    <t>45W ESTEREO</t>
  </si>
  <si>
    <t xml:space="preserve"> TDA8932 35W MONO</t>
  </si>
  <si>
    <t>PRE AMPLIFICADOR NE5532</t>
  </si>
  <si>
    <t>TPA3110  XH A232</t>
  </si>
  <si>
    <t>30W ESTEREO DE 12 A 24V</t>
  </si>
  <si>
    <t>ARDUINO LEONARDO</t>
  </si>
  <si>
    <t>ARDUINO MICRO</t>
  </si>
  <si>
    <t>ARDUINO NANO</t>
  </si>
  <si>
    <t>ARDUINO PRO MINI</t>
  </si>
  <si>
    <t>ARDUINO PRO MINI ATMEGA168</t>
  </si>
  <si>
    <t>ARDUINO UNO</t>
  </si>
  <si>
    <t>ATTINY85</t>
  </si>
  <si>
    <t>TIPO USB</t>
  </si>
  <si>
    <t>MEGA PRO-MINI</t>
  </si>
  <si>
    <t>LILYPAD</t>
  </si>
  <si>
    <t>IRIG</t>
  </si>
  <si>
    <t>HC-05 MODULO BLUETOOTH</t>
  </si>
  <si>
    <t>HC-06  MODULO BLUETOOTH</t>
  </si>
  <si>
    <t>WIN-688 BLUETOOTH</t>
  </si>
  <si>
    <t>BLUETOOTH DE AUDIO</t>
  </si>
  <si>
    <t>CARGADOR DE BATERIA LIPO 3,7V</t>
  </si>
  <si>
    <t>HX-3S-A01</t>
  </si>
  <si>
    <t>MODULO CARGADOR 3 PILAS 18650</t>
  </si>
  <si>
    <t>MODULO DE CARGA</t>
  </si>
  <si>
    <t>CONTROL DE CARGA BATERIA 12V</t>
  </si>
  <si>
    <t>BMS 3S  / HX-3S-FL25A-A</t>
  </si>
  <si>
    <t>BMS 3  /  3 PILAS , 25A</t>
  </si>
  <si>
    <t>T6545-C</t>
  </si>
  <si>
    <t>POWER BANK ,  USB Y MCROUSB</t>
  </si>
  <si>
    <t>HX-1S</t>
  </si>
  <si>
    <t>3.7V</t>
  </si>
  <si>
    <t>HX-2S-01</t>
  </si>
  <si>
    <t>DOS PILAS</t>
  </si>
  <si>
    <t>CNC V4 PARA NANO</t>
  </si>
  <si>
    <t>RAMPS V1,4</t>
  </si>
  <si>
    <t>PARA ARDUINO MEGA</t>
  </si>
  <si>
    <t>SHIELD CNC  PARA UNO</t>
  </si>
  <si>
    <t>HX711</t>
  </si>
  <si>
    <t>CONVERSOR ANALOGO A DIGITAL 24 BIT</t>
  </si>
  <si>
    <t>DIMMER 2000W</t>
  </si>
  <si>
    <t>DIMMER 4000W</t>
  </si>
  <si>
    <t>DISPLAY 2 DIGITOS</t>
  </si>
  <si>
    <t>CON REGISTRO DE DESPLAZAMIENTO 74HC595</t>
  </si>
  <si>
    <t>DISPLAY 3 DIGITOS</t>
  </si>
  <si>
    <t>DISPLAY 4 DIGITOS</t>
  </si>
  <si>
    <t>DISPLAY 8 DIGITOS 74HC595</t>
  </si>
  <si>
    <t>LCD + KEYPAD</t>
  </si>
  <si>
    <t>MATRIZ DE LE LED LARGA X4</t>
  </si>
  <si>
    <t>X4</t>
  </si>
  <si>
    <t>MATRIZ DE LED MAX7219</t>
  </si>
  <si>
    <t>NOKIA LCD</t>
  </si>
  <si>
    <t>LCD ROJO</t>
  </si>
  <si>
    <t>OLED 0,91"</t>
  </si>
  <si>
    <t>128X32</t>
  </si>
  <si>
    <t>OLED 0,96"</t>
  </si>
  <si>
    <t>128X64</t>
  </si>
  <si>
    <t>OLED 1,5"</t>
  </si>
  <si>
    <t>PANTALLA LCD 16X2</t>
  </si>
  <si>
    <t>PANTALLA LCD 16X2 CON I2C</t>
  </si>
  <si>
    <t>A4988 POLOLU</t>
  </si>
  <si>
    <t>DRIVER MOTOR PASO APASO</t>
  </si>
  <si>
    <t>BTS7960</t>
  </si>
  <si>
    <t>DRIVER DE MOTOR 43A</t>
  </si>
  <si>
    <t>DVR8825</t>
  </si>
  <si>
    <t>DVR8833</t>
  </si>
  <si>
    <t>EASY DRIVER A3967</t>
  </si>
  <si>
    <t>HG7881</t>
  </si>
  <si>
    <t>MOTOR DRIVER</t>
  </si>
  <si>
    <t>L293D MODULO ADAFRUIT</t>
  </si>
  <si>
    <t>DRIVER DE MOTOR 4 MOTOR</t>
  </si>
  <si>
    <t>L298N</t>
  </si>
  <si>
    <t>L298N SHIELD</t>
  </si>
  <si>
    <t>PCA9685</t>
  </si>
  <si>
    <t>SOLDADO, CONTROLADOR DR SERVOS HASTA 16 SERVOS</t>
  </si>
  <si>
    <t>PCA9685 S</t>
  </si>
  <si>
    <t>SIN SOLDAR</t>
  </si>
  <si>
    <t xml:space="preserve">CCM2NJ PWM MOTOR </t>
  </si>
  <si>
    <t>12V-40V  3A, DIMMER DC</t>
  </si>
  <si>
    <t>TB6612FNG</t>
  </si>
  <si>
    <t>ESP-01 ADAPATADOR USB</t>
  </si>
  <si>
    <t>ESP32 CAM / USB</t>
  </si>
  <si>
    <t>ESP32 OLED</t>
  </si>
  <si>
    <t>ESP8266 OLED</t>
  </si>
  <si>
    <t>NODE MCU LUA CHICO VERTICAL</t>
  </si>
  <si>
    <t>ESP PROTOBOARD ADAPTADOR</t>
  </si>
  <si>
    <t>TTGO T-CALL V1.4</t>
  </si>
  <si>
    <t>ESP32/SIM800L</t>
  </si>
  <si>
    <t xml:space="preserve">MINI ESP32  / HW-665  </t>
  </si>
  <si>
    <t>MINI ESP8266  / ESP12F</t>
  </si>
  <si>
    <t>EVO F4 MODULO DRONE</t>
  </si>
  <si>
    <t>FTDI</t>
  </si>
  <si>
    <t>FUENTE VARIABLE KIT</t>
  </si>
  <si>
    <t>KIT PARA SOLDAR</t>
  </si>
  <si>
    <t>INTERFACE USB ARCADE</t>
  </si>
  <si>
    <t>PLACA AMARILLA</t>
  </si>
  <si>
    <t>AMPERIMETRO DIGITAL</t>
  </si>
  <si>
    <t>LCRT-4</t>
  </si>
  <si>
    <t>MIDE BOBINA, CAPACITOR Y COMPONENTES BASICOS</t>
  </si>
  <si>
    <t>VOLTIMETRO - AMPERIMETRO</t>
  </si>
  <si>
    <t>VOLTIMETRO CHICO</t>
  </si>
  <si>
    <t>VOLTIMETRO DIGITAL</t>
  </si>
  <si>
    <t>MODULO</t>
  </si>
  <si>
    <t>ACELEROMETRO ADLX335 , GY-61</t>
  </si>
  <si>
    <t>ADS1115</t>
  </si>
  <si>
    <t>CONVERSOR ANALOGO A DIGITAL 16 BIT</t>
  </si>
  <si>
    <t>ANTENA GPS</t>
  </si>
  <si>
    <t>BUZER PASIVO</t>
  </si>
  <si>
    <t>CAMARA OV7670</t>
  </si>
  <si>
    <t>CD74HC4067</t>
  </si>
  <si>
    <t>MULTIPLEXOR 16CH</t>
  </si>
  <si>
    <t>DE 8 CH Y DE 4 CH BIDIRECCIONAL</t>
  </si>
  <si>
    <t>CONVERSOR TTL-RS485</t>
  </si>
  <si>
    <t>CP2102 USB/TTL</t>
  </si>
  <si>
    <t>DF PLAYER MINI</t>
  </si>
  <si>
    <t>MP3, TF</t>
  </si>
  <si>
    <t>DTFM  MT8870</t>
  </si>
  <si>
    <t>DECODIFICADOR DE TONOS TELEFONICO</t>
  </si>
  <si>
    <t>RS232 TO TTL</t>
  </si>
  <si>
    <t>ENCODER MODULO</t>
  </si>
  <si>
    <t>FM TRANSMISOR KT0803L</t>
  </si>
  <si>
    <t>MODULO FM TRANSMISOR</t>
  </si>
  <si>
    <t>FUENTE DE PROTOBOARD MODULO</t>
  </si>
  <si>
    <t>FUENTE DE PROTOBOARD ROJA</t>
  </si>
  <si>
    <t>GIROSCOPIO/BRUJULA ,GY-86</t>
  </si>
  <si>
    <t>GIROSCOPIO, BRUJULA Y BAROMETRO</t>
  </si>
  <si>
    <t>GPS MODULO</t>
  </si>
  <si>
    <t>GY-NEO6MV2</t>
  </si>
  <si>
    <t>GRABADOR DE AUDIO</t>
  </si>
  <si>
    <t>MODULO GRABADOR DE AUDIO</t>
  </si>
  <si>
    <t>HX1838</t>
  </si>
  <si>
    <t>CONTROL REMOTO</t>
  </si>
  <si>
    <t>I2C MODULO</t>
  </si>
  <si>
    <t>MODULO GENERADOR DE SEÑALES</t>
  </si>
  <si>
    <t>JOYSTICK CON BOTONES</t>
  </si>
  <si>
    <t>JOYSTICK MODULO KY-023</t>
  </si>
  <si>
    <t>MCP2515</t>
  </si>
  <si>
    <t>CAN BUS</t>
  </si>
  <si>
    <t>MICRO SD MODULO</t>
  </si>
  <si>
    <t>MODULO BUZZER</t>
  </si>
  <si>
    <t>MODULO DE RED W5500</t>
  </si>
  <si>
    <t>MINI MODULO DE RED</t>
  </si>
  <si>
    <t>MODULO LDR</t>
  </si>
  <si>
    <t>MODULO PROTOBOARD</t>
  </si>
  <si>
    <t>MODULO RGB LED</t>
  </si>
  <si>
    <t>MODULO TIRISTOR</t>
  </si>
  <si>
    <t>MPU6050  GY-521</t>
  </si>
  <si>
    <t>GIROSCOPIO</t>
  </si>
  <si>
    <t>PCF8574</t>
  </si>
  <si>
    <t>ºº</t>
  </si>
  <si>
    <t>RFID -- MFRC-522</t>
  </si>
  <si>
    <t>SD MODULO</t>
  </si>
  <si>
    <t>SHIELD ETHERNET</t>
  </si>
  <si>
    <t>SHIELD XBEE</t>
  </si>
  <si>
    <t>XBEE S2C</t>
  </si>
  <si>
    <t>USB HOST SHIELD</t>
  </si>
  <si>
    <t>256K MODULO EPROM</t>
  </si>
  <si>
    <t>IRF520 MODULO</t>
  </si>
  <si>
    <t>GENERADOR DE PULSO C5200</t>
  </si>
  <si>
    <t>GENERADOR DE PULSO PARA MOTOR PASO A PASO</t>
  </si>
  <si>
    <t>MOTOR BRUSHLESS</t>
  </si>
  <si>
    <t>MOTOR PASO A PASO 5V</t>
  </si>
  <si>
    <t>CON MODULO ULN2003</t>
  </si>
  <si>
    <t>N20 -- 100RPM</t>
  </si>
  <si>
    <t>N20 -- 500RPM</t>
  </si>
  <si>
    <t>SERVO MOTOR MG995</t>
  </si>
  <si>
    <t>11KG</t>
  </si>
  <si>
    <t>SERVO MOTOR S3003</t>
  </si>
  <si>
    <t>4KG</t>
  </si>
  <si>
    <t>SERVOMOTOR SG-90</t>
  </si>
  <si>
    <t>1,5KG</t>
  </si>
  <si>
    <t>EXPANSION NANO BORNERA</t>
  </si>
  <si>
    <t>EXPANSION NANO ROJA</t>
  </si>
  <si>
    <t>PICKIT-2</t>
  </si>
  <si>
    <t>PICKIT-3</t>
  </si>
  <si>
    <t>PROGRAMADOR K150</t>
  </si>
  <si>
    <t>RASPBERRY PI PICO</t>
  </si>
  <si>
    <t>3,3V  MODULO REGULADOR</t>
  </si>
  <si>
    <t>HASTA 5V</t>
  </si>
  <si>
    <t>BOOSTER 5V, 2A</t>
  </si>
  <si>
    <t>PARA MODULO DE CARGA</t>
  </si>
  <si>
    <t>REDUCTOR DE VOLTAJE</t>
  </si>
  <si>
    <t>REGULADOR DE VOLTAJE CON DISPLAY</t>
  </si>
  <si>
    <t>STEP DOWN LM2596</t>
  </si>
  <si>
    <t>MODULO REGULADOR DE VOLTAJE 2A</t>
  </si>
  <si>
    <t>STEP DOWN XL4005</t>
  </si>
  <si>
    <t>MODULO REGULADOR DE VOLTAJE 5A</t>
  </si>
  <si>
    <t>STEP UP 10A</t>
  </si>
  <si>
    <t>MODULO ELEVADOR DE VOLTAJE 10A</t>
  </si>
  <si>
    <t>MT3608 STEP UP 2A</t>
  </si>
  <si>
    <t>MODULO ELEVADOR DE VOLTAJE 2A</t>
  </si>
  <si>
    <t>MODULO RELE 1CH</t>
  </si>
  <si>
    <t>MODULO RELE 1CH 12V</t>
  </si>
  <si>
    <t>MODULO RELE 2CH</t>
  </si>
  <si>
    <t>MODULO RELE 4CH</t>
  </si>
  <si>
    <t>MODULO RELE 4CH 12V</t>
  </si>
  <si>
    <t>MODULO RELE 8CH</t>
  </si>
  <si>
    <t>MODULO RELE ESTADO SOLIDO 1CH</t>
  </si>
  <si>
    <t>5V</t>
  </si>
  <si>
    <t>MODULO RELE ESTADO SOLIDO 2CH</t>
  </si>
  <si>
    <t>MODULO RELE ESTADO SOLIDO 4CH</t>
  </si>
  <si>
    <t>RELE BLUETOOTH</t>
  </si>
  <si>
    <t>WIFI - RELE</t>
  </si>
  <si>
    <t>CONTROL REMOTO RF 2 BOTON</t>
  </si>
  <si>
    <t>220V AC  CONTROL RF DE 2 RELE</t>
  </si>
  <si>
    <t>RS485 TO TTL</t>
  </si>
  <si>
    <t>RTC  DS1307</t>
  </si>
  <si>
    <t>RELOJ DE TIEMPO REAL</t>
  </si>
  <si>
    <t>RTC DS3231</t>
  </si>
  <si>
    <t>ACS715-5A</t>
  </si>
  <si>
    <t>SENSOR DE CORRIENTE 5A</t>
  </si>
  <si>
    <t>BMP180</t>
  </si>
  <si>
    <t>SENSOR DE PRESION BAROMETRICA</t>
  </si>
  <si>
    <t>BMP280</t>
  </si>
  <si>
    <t>CAUDALIMETRO</t>
  </si>
  <si>
    <t>E18-D80NK</t>
  </si>
  <si>
    <t>SENSOR IR DE DISTANCIA 80CMTS</t>
  </si>
  <si>
    <t xml:space="preserve">MAX30102 </t>
  </si>
  <si>
    <t>SENSOR DE PULSO Y CONCENTRACION DE OXIGENO</t>
  </si>
  <si>
    <t>MAX471</t>
  </si>
  <si>
    <t>SENSOR DE CORRIENTE Y VOLTAJE ,3A</t>
  </si>
  <si>
    <t>MQ-135</t>
  </si>
  <si>
    <t>CALIDAD DE AIRE</t>
  </si>
  <si>
    <t>MQ-2</t>
  </si>
  <si>
    <t>SENSOR DE HUMO Y GASES</t>
  </si>
  <si>
    <t>MQ-3</t>
  </si>
  <si>
    <t>SENSOR DE ALCOHOL</t>
  </si>
  <si>
    <t>MQ-6</t>
  </si>
  <si>
    <t>SENSOR DE GAS LICUADO</t>
  </si>
  <si>
    <t>MQ-7</t>
  </si>
  <si>
    <t>MONOXIDO DE CARBONO</t>
  </si>
  <si>
    <t>PIR SENSOR DE MOVIMIENTO</t>
  </si>
  <si>
    <t>QTR1A</t>
  </si>
  <si>
    <t>CHINO</t>
  </si>
  <si>
    <t>QTR8A</t>
  </si>
  <si>
    <t>SEGUIDOR DE LINEA 3 CANAL</t>
  </si>
  <si>
    <t>SENSOR DE COLOR  ROJO</t>
  </si>
  <si>
    <t>SENSOR DE COLOR TCS3200</t>
  </si>
  <si>
    <t>SENSOR DE INCLINACION KY-020</t>
  </si>
  <si>
    <t>SENSOR DE LLUVIA</t>
  </si>
  <si>
    <t>SENSOR DE LUZ TSL2561</t>
  </si>
  <si>
    <t>INTENSIDAD DE LUZ</t>
  </si>
  <si>
    <t>SENSOR DE PARTICULAS</t>
  </si>
  <si>
    <t>DE PARTICULAS O POLVO</t>
  </si>
  <si>
    <t>SENSOR DE PESO Y HX711</t>
  </si>
  <si>
    <t>CORAZON</t>
  </si>
  <si>
    <t>SENSOR DE PULSO -- LED</t>
  </si>
  <si>
    <t>SENSOR DE SONIDO</t>
  </si>
  <si>
    <t>3 PIN</t>
  </si>
  <si>
    <t>SENSOR DE SONIDO ROJO</t>
  </si>
  <si>
    <t>4 PIN</t>
  </si>
  <si>
    <t>SENSOR DE TURBIDEZ</t>
  </si>
  <si>
    <t>SENSOR DE VELOCIDAD FC-03</t>
  </si>
  <si>
    <t>SENSOR DE VIBRACION KY-002</t>
  </si>
  <si>
    <t>SENSOR DE VOLTAJE</t>
  </si>
  <si>
    <t>SENSOR EFECTO HALL</t>
  </si>
  <si>
    <t>SENSOR HUMEDAD DE SUELO FC-28</t>
  </si>
  <si>
    <t>SENSOR IR DE PROXIMIDAD</t>
  </si>
  <si>
    <t>IR DOBLE LED RX/TX</t>
  </si>
  <si>
    <t>SENSOR LASER DE DISTANCIA</t>
  </si>
  <si>
    <t>VL53LOX</t>
  </si>
  <si>
    <t>SENSOR NIVEL DE AGUA</t>
  </si>
  <si>
    <t xml:space="preserve">NIVEL SUPERIOR </t>
  </si>
  <si>
    <t>SENSOR SEGUIDOR DE LINEA</t>
  </si>
  <si>
    <t>SENSOR ULTRAVIOLETA</t>
  </si>
  <si>
    <t>CJ MCU-6002</t>
  </si>
  <si>
    <t>SHARP 0A41SK</t>
  </si>
  <si>
    <t>DE DISTANCIA</t>
  </si>
  <si>
    <t>TCRT SENSOR DIGITAL</t>
  </si>
  <si>
    <t>TCTR SENSOR DIGITAL CALIBRABLE</t>
  </si>
  <si>
    <t>3 PIN CON POTENCIOMETRO</t>
  </si>
  <si>
    <t>UVM 30A</t>
  </si>
  <si>
    <t>TTP223</t>
  </si>
  <si>
    <t>SENSOR CAPACITIVO TACTIL / TOUCH SENSOR</t>
  </si>
  <si>
    <t>SENSOR HUMEDAD RELATIVA</t>
  </si>
  <si>
    <t>MQ131</t>
  </si>
  <si>
    <t>SENSOR DE OZONO</t>
  </si>
  <si>
    <t>SIM800L</t>
  </si>
  <si>
    <t>ROJO</t>
  </si>
  <si>
    <t>SIM808 CON GPS</t>
  </si>
  <si>
    <t>SIM900</t>
  </si>
  <si>
    <t>SOPORTE DE MOTOREDUCTOR</t>
  </si>
  <si>
    <t>SOPORTE DE SENSOR ULTRASONICO</t>
  </si>
  <si>
    <t>LM2596 DC/DC</t>
  </si>
  <si>
    <t>STM32</t>
  </si>
  <si>
    <t>TECLADO 1X4 MEMBRANA</t>
  </si>
  <si>
    <t>TECLADO 3X4 MEMBRANA</t>
  </si>
  <si>
    <t>TECLADO 3X4 SOLIDO</t>
  </si>
  <si>
    <t>PLASTICO NEGRO</t>
  </si>
  <si>
    <t>TECLADO 4X4 MEMBRANA</t>
  </si>
  <si>
    <t>TECLADO 4X4 SOLIDO</t>
  </si>
  <si>
    <t>MODULO Y SENSOR DE TEMPERATURA</t>
  </si>
  <si>
    <t>DHT-11</t>
  </si>
  <si>
    <t>SENSOR DE TEMPERATURA Y HUMEDAD</t>
  </si>
  <si>
    <t>DHT-22</t>
  </si>
  <si>
    <t>PLOMO</t>
  </si>
  <si>
    <t>CON CABLE Y SUMERGIBLE</t>
  </si>
  <si>
    <t>TEMPORIZADOR DK-C-05</t>
  </si>
  <si>
    <t>EL CORRECTO</t>
  </si>
  <si>
    <t>TEMPORIZADOR HX-M663</t>
  </si>
  <si>
    <t>TEMPORIZADOR KY-J02</t>
  </si>
  <si>
    <t>TEMPORIZADOR MINUTOS/ CICLICO</t>
  </si>
  <si>
    <t>TERMOSTATO DIGITAL GRANDE</t>
  </si>
  <si>
    <t>IR  TX/RX</t>
  </si>
  <si>
    <t>RECEPTOR IR 10BS, TRANSMISOR IR 8BS</t>
  </si>
  <si>
    <t>LASER MODULO TX/RX</t>
  </si>
  <si>
    <t>TX 15BS, RX 20BS</t>
  </si>
  <si>
    <t>LORA XL1278-SMT</t>
  </si>
  <si>
    <t>MODULO RC  TX/RX</t>
  </si>
  <si>
    <t>CONTROL REMOTO DE AUTO ROBOT SIN ARDUINO</t>
  </si>
  <si>
    <t>MODULO RF 433MHZ</t>
  </si>
  <si>
    <t>MODULO RF 433MHZ-- EV1527</t>
  </si>
  <si>
    <t>EL PAR  TX/RX</t>
  </si>
  <si>
    <t>NRF24L01 CON ANTENA</t>
  </si>
  <si>
    <t>EXPANSION UNO</t>
  </si>
  <si>
    <t>USB TESTER</t>
  </si>
  <si>
    <t>VALVULA 12V DC</t>
  </si>
  <si>
    <t>1/2 PULGADA</t>
  </si>
  <si>
    <t>WI-FI MODULO ESP01S</t>
  </si>
  <si>
    <t>MODULO WIFI</t>
  </si>
  <si>
    <t>LY6W CAPACIDAD DE CARGA</t>
  </si>
  <si>
    <t>W1010 TERMOSTATO 220V</t>
  </si>
  <si>
    <t xml:space="preserve">XY-PWM1 </t>
  </si>
  <si>
    <t>ANTENA SMA  PARA SIM8XX</t>
  </si>
  <si>
    <t>PARA SIM800L</t>
  </si>
  <si>
    <t>CARCASA RASPBERRY</t>
  </si>
  <si>
    <t>GRABADOR EPROM CH341</t>
  </si>
  <si>
    <t>KIT CON ZOCALO Y PINZA</t>
  </si>
  <si>
    <t>WS2812B</t>
  </si>
  <si>
    <t>RGB</t>
  </si>
  <si>
    <t>SIM800L V2.0 CON ANTENA</t>
  </si>
  <si>
    <t>HELICES</t>
  </si>
  <si>
    <t>EL PAR</t>
  </si>
  <si>
    <t xml:space="preserve">CAJA </t>
  </si>
  <si>
    <t>A3</t>
  </si>
  <si>
    <t>MAX31865</t>
  </si>
  <si>
    <t>MODULO CONVERSOR PT100</t>
  </si>
  <si>
    <t xml:space="preserve">PT100  </t>
  </si>
  <si>
    <t>TERMOCUPLA</t>
  </si>
  <si>
    <t>MAX6675</t>
  </si>
  <si>
    <t>MODULO TERMOCUPLA K</t>
  </si>
  <si>
    <t xml:space="preserve"> TERMOCUPLA K </t>
  </si>
  <si>
    <t>W1209 TERMOSTATO DIGITAL</t>
  </si>
  <si>
    <t>A4</t>
  </si>
  <si>
    <t xml:space="preserve">18B20 SENSOR DE TEMPERATURA </t>
  </si>
  <si>
    <t xml:space="preserve">NTC 10K </t>
  </si>
  <si>
    <t>A5</t>
  </si>
  <si>
    <t>A6</t>
  </si>
  <si>
    <t>A7</t>
  </si>
  <si>
    <t>STEP UP XL6009</t>
  </si>
  <si>
    <t>B3</t>
  </si>
  <si>
    <t>B7</t>
  </si>
  <si>
    <t xml:space="preserve"> FLOTADOR</t>
  </si>
  <si>
    <t>NIVEL DE AGUA</t>
  </si>
  <si>
    <t xml:space="preserve">MINI BOMBA DE AGUA </t>
  </si>
  <si>
    <t>B4</t>
  </si>
  <si>
    <t>TP4056 TIPOC</t>
  </si>
  <si>
    <t>TP4056 MICRO USB</t>
  </si>
  <si>
    <t>B6</t>
  </si>
  <si>
    <t>B5</t>
  </si>
  <si>
    <t>MAX30100</t>
  </si>
  <si>
    <t>B2</t>
  </si>
  <si>
    <t>PULSIOXIMETRO</t>
  </si>
  <si>
    <t>SENSOR DE PULSO XD-58</t>
  </si>
  <si>
    <t>B1</t>
  </si>
  <si>
    <t>CONVERSOR NIVEL LOGICO 8BIT</t>
  </si>
  <si>
    <t>CONVERSOR NIVEL LOGICO 4BIT</t>
  </si>
  <si>
    <t>AS608 SENSOR HUELLA DIGITAL</t>
  </si>
  <si>
    <t xml:space="preserve">RCWL-0516 </t>
  </si>
  <si>
    <t>SENSOR DE MOVIMIENTO RADAR</t>
  </si>
  <si>
    <t>MAX4466</t>
  </si>
  <si>
    <t>MICROFONO CON PRE</t>
  </si>
  <si>
    <t>DRIVER PARA A4988</t>
  </si>
  <si>
    <t>DRIVER MOTOR PASO A PASO PWM</t>
  </si>
  <si>
    <t>MODULO POTENCIOMETRO</t>
  </si>
  <si>
    <t>MODULO DE MEMORIA EPROM 24C02</t>
  </si>
  <si>
    <t>E2</t>
  </si>
  <si>
    <t>ESP32 PLACA DE DESARROLLO</t>
  </si>
  <si>
    <t>TIPO ARDUINO</t>
  </si>
  <si>
    <t>ESP32D WROOM CON ENTRADA DE FUENTE</t>
  </si>
  <si>
    <t>E1</t>
  </si>
  <si>
    <t>NODE MCU 8266 MINI  ESP12</t>
  </si>
  <si>
    <t>E4</t>
  </si>
  <si>
    <t>E7</t>
  </si>
  <si>
    <t>E3</t>
  </si>
  <si>
    <t>ESP32   38PIN</t>
  </si>
  <si>
    <t>ESP32 DEVKITC 32U</t>
  </si>
  <si>
    <t>NODE MCU LUA ESP8266 CH340</t>
  </si>
  <si>
    <t>E6</t>
  </si>
  <si>
    <t>E5</t>
  </si>
  <si>
    <t>SOLDADOR DE PUNTO</t>
  </si>
  <si>
    <t>DSO150 MINI OSCILOSCOPIO</t>
  </si>
  <si>
    <t>ENC28J60</t>
  </si>
  <si>
    <t>MINI MODULO ETHERNET</t>
  </si>
  <si>
    <t>HIGOMETRO TERMOMETRO SONDA</t>
  </si>
  <si>
    <t>TERMOMETRO DIGITAL 12V</t>
  </si>
  <si>
    <t>KS0037 --801S SENSOR DE VIBRACION</t>
  </si>
  <si>
    <t>XR2206 GENERADOR DE ONDAS</t>
  </si>
  <si>
    <t>PWM GENERADOR DE ONDA CUADRADA</t>
  </si>
  <si>
    <t>FX2N-20MR PLC</t>
  </si>
  <si>
    <t>F1</t>
  </si>
  <si>
    <t>F3</t>
  </si>
  <si>
    <t>F2</t>
  </si>
  <si>
    <t>F4</t>
  </si>
  <si>
    <t>SMD OB2269</t>
  </si>
  <si>
    <t>SMD LNK306DG</t>
  </si>
  <si>
    <t>SMD TL072CDR</t>
  </si>
  <si>
    <t>SMD TNY285DG</t>
  </si>
  <si>
    <t>SMD HT8696</t>
  </si>
  <si>
    <t>SMD LTK5110</t>
  </si>
  <si>
    <t>B1212S-2W</t>
  </si>
  <si>
    <t>SMD TL431</t>
  </si>
  <si>
    <t>SMD PBRP123YT</t>
  </si>
  <si>
    <t>DIODO P6KE200A</t>
  </si>
  <si>
    <t>DIODO HER107</t>
  </si>
  <si>
    <t>SMD IR1153S</t>
  </si>
  <si>
    <t>5L0380R</t>
  </si>
  <si>
    <t>STRW6052S</t>
  </si>
  <si>
    <t>P75NF75</t>
  </si>
  <si>
    <t>STA540SAN</t>
  </si>
  <si>
    <t>TEA2025B</t>
  </si>
  <si>
    <t>M</t>
  </si>
  <si>
    <t>PC817</t>
  </si>
  <si>
    <t>ACST210-8FP</t>
  </si>
  <si>
    <t>20N60  /  K20A60U</t>
  </si>
  <si>
    <t>TRIAC  1A, 800V</t>
  </si>
  <si>
    <t>SMD  Z9M</t>
  </si>
  <si>
    <t>SMD Z0109NN6</t>
  </si>
  <si>
    <t>TRIAC 1A, 800V</t>
  </si>
  <si>
    <t>PIC18F45K50-I/P</t>
  </si>
  <si>
    <t>MBRF10200CT</t>
  </si>
  <si>
    <t>SPW20N60C3</t>
  </si>
  <si>
    <t>MOSFET CANAL N 20A / 600V</t>
  </si>
  <si>
    <t>VIPER27H</t>
  </si>
  <si>
    <t>PC851</t>
  </si>
  <si>
    <t>TOP225YN</t>
  </si>
  <si>
    <t>D882</t>
  </si>
  <si>
    <t>4069UBF</t>
  </si>
  <si>
    <t xml:space="preserve">2TY  = S8550 </t>
  </si>
  <si>
    <t>PNP 25V 500mA</t>
  </si>
  <si>
    <t>J3Y  = S8050</t>
  </si>
  <si>
    <t>NPN 25V 500mA</t>
  </si>
  <si>
    <t>KID65783AP</t>
  </si>
  <si>
    <t>2N3055 MEXICO ORIG</t>
  </si>
  <si>
    <t>FSL137MRI</t>
  </si>
  <si>
    <t>L137MRI</t>
  </si>
  <si>
    <t>B1212-1W</t>
  </si>
  <si>
    <t>ACS1088S</t>
  </si>
  <si>
    <t>SMD LTK5302</t>
  </si>
  <si>
    <t>LTH7</t>
  </si>
  <si>
    <t>VIPER12A  SMD</t>
  </si>
  <si>
    <t>IR2109S</t>
  </si>
  <si>
    <t>SMD  SS320</t>
  </si>
  <si>
    <t>D16</t>
  </si>
  <si>
    <t>MUR1520</t>
  </si>
  <si>
    <t>T835T-8T</t>
  </si>
  <si>
    <t>TRIAC 8A  800V</t>
  </si>
  <si>
    <t>L7805</t>
  </si>
  <si>
    <t>L7812CV</t>
  </si>
  <si>
    <t xml:space="preserve">TERMOCUPLA K </t>
  </si>
  <si>
    <t>ARDUINO UNO ORIG</t>
  </si>
  <si>
    <t>ENCODER VERDE</t>
  </si>
  <si>
    <t>ENCODER CON ROSCA</t>
  </si>
  <si>
    <t>RUEDA AMARILLA DELGADA</t>
  </si>
  <si>
    <t>USB C CON ROSCA</t>
  </si>
  <si>
    <t>PARLANTE 8OHM 1W CON CABLE</t>
  </si>
  <si>
    <t>TTL SN74HC112N</t>
  </si>
  <si>
    <t>MBR2045CT</t>
  </si>
  <si>
    <t>MICROFONO ELECTRETO CON PINES</t>
  </si>
  <si>
    <t>BUZZER COMUN</t>
  </si>
  <si>
    <t>DIP SWITCH 4</t>
  </si>
  <si>
    <t>DIP SWITCH 8</t>
  </si>
  <si>
    <t>DIP SWITCH 2</t>
  </si>
  <si>
    <t>FUSIBLE ENCAPSULADO ROJO 0.5A 250V</t>
  </si>
  <si>
    <t>FUSIBLE ENCAPSULADO ROJO 2A 250V</t>
  </si>
  <si>
    <t>FUSIBLE ENCAPSULADO ROJO 3.15A 250V</t>
  </si>
  <si>
    <t>FUSIBLE ENCAPSULADO ROJO 5A 250V</t>
  </si>
  <si>
    <t>SMD 4069UBM</t>
  </si>
  <si>
    <t>DIODO KBP310</t>
  </si>
  <si>
    <t>KY-037 SENSOR DE SONIDO</t>
  </si>
  <si>
    <t>ESP32  S3</t>
  </si>
  <si>
    <t>PICKIT 3</t>
  </si>
  <si>
    <t>GD7NC60H</t>
  </si>
  <si>
    <t>ZK-502H</t>
  </si>
  <si>
    <t>ZK-LT23</t>
  </si>
  <si>
    <t>BOBINA 100UH</t>
  </si>
  <si>
    <t>F249 SENSOR DE VELOCIDAD FC-03</t>
  </si>
  <si>
    <t>CAPACITOR AZUL 1.2UF</t>
  </si>
  <si>
    <t>CAPACITOR AZUL 1 UF</t>
  </si>
  <si>
    <t>HC-12   HC12</t>
  </si>
  <si>
    <t>NTC 5K</t>
  </si>
  <si>
    <t>AJUST</t>
  </si>
  <si>
    <t>BCR8PM  14L</t>
  </si>
  <si>
    <t>DHT-11 DHT11</t>
  </si>
  <si>
    <t>MODULO BUZZER PASIVO</t>
  </si>
  <si>
    <t>BORDE AMARILLO</t>
  </si>
  <si>
    <t>MLX90614</t>
  </si>
  <si>
    <t>DHT-22   DHT22</t>
  </si>
  <si>
    <t>HC-05   HC05</t>
  </si>
  <si>
    <t>HC-06   HC06</t>
  </si>
  <si>
    <t>FC-51   FC51   2LED IR</t>
  </si>
  <si>
    <t>1MT</t>
  </si>
  <si>
    <t>DIODO SR315   SR3150</t>
  </si>
  <si>
    <t>NH</t>
  </si>
  <si>
    <t xml:space="preserve"> </t>
  </si>
  <si>
    <t>ARDUINO UNO V173</t>
  </si>
  <si>
    <t>FUSIBLE TERMICO 130ºC A4-F</t>
  </si>
  <si>
    <t>SG3525     DIP</t>
  </si>
  <si>
    <t>CAJA1</t>
  </si>
  <si>
    <t>CAJA2</t>
  </si>
  <si>
    <t>CAJA3</t>
  </si>
  <si>
    <t>CAJA4</t>
  </si>
  <si>
    <t>CAJA5</t>
  </si>
  <si>
    <t>CAJA6</t>
  </si>
  <si>
    <t>CAJA7</t>
  </si>
  <si>
    <t>CAJA8</t>
  </si>
  <si>
    <t>CAJA9</t>
  </si>
  <si>
    <t>SENSOR DE HUMEDAD DE SUELO</t>
  </si>
  <si>
    <t>SENSOR DE FLAMA</t>
  </si>
  <si>
    <t>CAJA10</t>
  </si>
  <si>
    <t>CAJA11</t>
  </si>
  <si>
    <t>AD620 MODULO</t>
  </si>
  <si>
    <t>CAJA12</t>
  </si>
  <si>
    <t>CAJA13</t>
  </si>
  <si>
    <t>BUZZER PASIVO MODULO</t>
  </si>
  <si>
    <t>CAJA14</t>
  </si>
  <si>
    <t>CAJA15</t>
  </si>
  <si>
    <t>CAJA16</t>
  </si>
  <si>
    <t>NS4110 MONO</t>
  </si>
  <si>
    <t>NS4110 ESTEREO</t>
  </si>
  <si>
    <t>UVM30</t>
  </si>
  <si>
    <t>PC817 MODULO</t>
  </si>
  <si>
    <t>CAJA17</t>
  </si>
  <si>
    <t>TECLADO MEMBRANA 4X4</t>
  </si>
  <si>
    <t>TECLADO MEMBRANA 4X3</t>
  </si>
  <si>
    <t>TECLADO PLASTICO 4X3 NEGRO</t>
  </si>
  <si>
    <t xml:space="preserve">TECLADO MENBRANA 1X3 </t>
  </si>
  <si>
    <t>PAMNTALLA LCD 1602</t>
  </si>
  <si>
    <t>CAJA18</t>
  </si>
  <si>
    <t>MODULO I2C</t>
  </si>
  <si>
    <t>PANTALLA 1602 CON I2C</t>
  </si>
  <si>
    <t>MODULO RELE 5V 1CH</t>
  </si>
  <si>
    <t>CAJA19</t>
  </si>
  <si>
    <t>MODULO RELE 5V 2CH</t>
  </si>
  <si>
    <t>MODULO RELE 5V 4CH</t>
  </si>
  <si>
    <t>CAJA20</t>
  </si>
  <si>
    <t>CAJA21</t>
  </si>
  <si>
    <t>CAJA22</t>
  </si>
  <si>
    <t>RADAR</t>
  </si>
  <si>
    <t xml:space="preserve">MICROFONO </t>
  </si>
  <si>
    <t>CAJA23</t>
  </si>
  <si>
    <t>CAJA24</t>
  </si>
  <si>
    <t>CAJA25</t>
  </si>
  <si>
    <t>CAJA26</t>
  </si>
  <si>
    <t>CAJA27</t>
  </si>
  <si>
    <t>CAJA28</t>
  </si>
  <si>
    <t>ESP32   38PIN  MICRIUSB</t>
  </si>
  <si>
    <t>CAJA29</t>
  </si>
  <si>
    <t>ESP32   30PIN  USB-C</t>
  </si>
  <si>
    <t>CAJA30</t>
  </si>
  <si>
    <t xml:space="preserve">ESP32 S3 MINI </t>
  </si>
  <si>
    <t>ESP32 USB-C  38 PIN</t>
  </si>
  <si>
    <t>ESP32 S3 DEVKITC-1</t>
  </si>
  <si>
    <t>CAJA31</t>
  </si>
  <si>
    <t xml:space="preserve">USB HOST </t>
  </si>
  <si>
    <t>BMS 3S 40A</t>
  </si>
  <si>
    <t>BMS</t>
  </si>
  <si>
    <t>CAJA32</t>
  </si>
  <si>
    <t>CAJA33</t>
  </si>
  <si>
    <t>CAJA34</t>
  </si>
  <si>
    <t>HX711  MODULO PARA CELDA DE PESO</t>
  </si>
  <si>
    <t>CAJA35</t>
  </si>
  <si>
    <t>MODULO EFECTO HALL</t>
  </si>
  <si>
    <t>QTR1</t>
  </si>
  <si>
    <t>ADAPTADOR USB PARA ESP01</t>
  </si>
  <si>
    <t>CAJA36</t>
  </si>
  <si>
    <t>CAJA37</t>
  </si>
  <si>
    <t>MODULO JOYSTICK KY023</t>
  </si>
  <si>
    <t>TEMPORIZADOR 555 ROJO</t>
  </si>
  <si>
    <t>TEMPORIZADOR 555 AZUL</t>
  </si>
  <si>
    <t>CAJA38</t>
  </si>
  <si>
    <t>CAJA39</t>
  </si>
  <si>
    <t>MODULO DE CARGA 12V XM-M601</t>
  </si>
  <si>
    <t xml:space="preserve">TCRT5000 3 CANALES </t>
  </si>
  <si>
    <t>XL4015 STEP UP/DOWN 5A,32V C/VISOR</t>
  </si>
  <si>
    <t>CAJA40</t>
  </si>
  <si>
    <t>MODULO RELE 12V  1CANAL</t>
  </si>
  <si>
    <t>MODULO RELE 12V  2CANAL</t>
  </si>
  <si>
    <t>SENSOR CAPACITIVO HUMEDAD DE SUELO</t>
  </si>
  <si>
    <t>CAJA41</t>
  </si>
  <si>
    <t>SALIDA SIMETRICA STEP DOWN</t>
  </si>
  <si>
    <t>LIMPIADOR DE PUNTA DE CAUTIN</t>
  </si>
  <si>
    <t>ELEVADOR DE VOLTAJE IGNITOR</t>
  </si>
  <si>
    <t>MODULO SEMAFORO</t>
  </si>
  <si>
    <t>CAJA42</t>
  </si>
  <si>
    <t>EXPANSION ESP32  38PIN</t>
  </si>
  <si>
    <t>SENSOR TOUCH AZUL TTP223B</t>
  </si>
  <si>
    <t>CONVERSOR USB TO RS485</t>
  </si>
  <si>
    <t>SERVOMOTOR MG995 360°</t>
  </si>
  <si>
    <t>CAJA43</t>
  </si>
  <si>
    <t>PREAMPLIFICADOR 12V</t>
  </si>
  <si>
    <t>MODULO EPROM 256K</t>
  </si>
  <si>
    <t>CAJA44</t>
  </si>
  <si>
    <t>TRANSMISOR FM</t>
  </si>
  <si>
    <t>ESP-01 MODULO WIFI</t>
  </si>
  <si>
    <t>PRO MINI ATMEGA 168</t>
  </si>
  <si>
    <t>RECEPTOR LASER  5V</t>
  </si>
  <si>
    <t>LORA XL1278</t>
  </si>
  <si>
    <t xml:space="preserve">                                                                                                                                                                    </t>
  </si>
  <si>
    <t>TERMOSTATO W1219</t>
  </si>
  <si>
    <t>CAJA45</t>
  </si>
  <si>
    <t>EXPANSION BORNERA NANO</t>
  </si>
  <si>
    <t>SHIELD L298</t>
  </si>
  <si>
    <t>CAJA46</t>
  </si>
  <si>
    <t>M562 AMPLIFICADOR 50W  12V</t>
  </si>
  <si>
    <t>PCF8575 EXPANSOR 16BIT</t>
  </si>
  <si>
    <t>MODULO PWM 4-35V 5A 90W</t>
  </si>
  <si>
    <t>VOLTIMETRO/AMPERIMETRO</t>
  </si>
  <si>
    <t>CAJA47</t>
  </si>
  <si>
    <t>CCM2NJ  PWM CON CONTROL DE GIRO</t>
  </si>
  <si>
    <t>HIGROMETRO TERMOMETRO SONDA</t>
  </si>
  <si>
    <t>CAJA48</t>
  </si>
  <si>
    <t>ARDUINO NANO USBC</t>
  </si>
  <si>
    <t>ESP32CAM CON MODULO USB</t>
  </si>
  <si>
    <t xml:space="preserve">ESP32 CAM </t>
  </si>
  <si>
    <t>MODULO CARGADOR 2 PILA 18650</t>
  </si>
  <si>
    <t>CAJA49</t>
  </si>
  <si>
    <t>MODULO CARGADOR 1 PILA 18650</t>
  </si>
  <si>
    <t>CAJA 49</t>
  </si>
  <si>
    <t>MODULO GENERADOR DE PULSOS NE555</t>
  </si>
  <si>
    <t>nh</t>
  </si>
  <si>
    <t>no hay</t>
  </si>
  <si>
    <t>DOBLE CAJA 125</t>
  </si>
  <si>
    <t>AD8232</t>
  </si>
  <si>
    <t>MQ131     OZONO</t>
  </si>
  <si>
    <t>MQ135    CALIDAD DE AIRE</t>
  </si>
  <si>
    <t>MQ7  MONOXIDO DE CARBONO</t>
  </si>
  <si>
    <t>MQ2   SENSOR DE GAS</t>
  </si>
  <si>
    <t>MQ3   SENSOR DE ALCOHOL</t>
  </si>
  <si>
    <t>MQ6  SENSOR DE GAS</t>
  </si>
  <si>
    <t>INMP441   SENSOR DE SONIDO DIGITAL</t>
  </si>
  <si>
    <t>TXS0108 CONVERSOR NIVEL LOGICO</t>
  </si>
  <si>
    <t>ENC28J60  MODULO ETHERNET</t>
  </si>
  <si>
    <t>CAJA50</t>
  </si>
  <si>
    <t>CAJA51</t>
  </si>
  <si>
    <t>PAM8406    5W X2 CON POT</t>
  </si>
  <si>
    <t>PAM8406  5W X2</t>
  </si>
  <si>
    <t>SENSORES DE PESO</t>
  </si>
  <si>
    <t>GRABADOR K150</t>
  </si>
  <si>
    <t>CAJA52</t>
  </si>
  <si>
    <t>HIGROMETRO SIN SENSOR</t>
  </si>
  <si>
    <t>MODULO PREAMPLIFICADOR 4POT</t>
  </si>
  <si>
    <t>MODULO TDA8932  35W</t>
  </si>
  <si>
    <t>JOYSTICK SHIELD</t>
  </si>
  <si>
    <t>MODULO LM25796 CON VISOR</t>
  </si>
  <si>
    <t>CAJA53</t>
  </si>
  <si>
    <t>PWM 60V  20A</t>
  </si>
  <si>
    <t>XH-M663  TIMMER COUNTDOWN</t>
  </si>
  <si>
    <t>IGBT V3040D</t>
  </si>
  <si>
    <t>MAX485    agotado</t>
  </si>
  <si>
    <t>ACST4108</t>
  </si>
  <si>
    <t>TRIAC 4A, 800V</t>
  </si>
  <si>
    <t>ESP32 C3 MINI</t>
  </si>
  <si>
    <t>4580JRC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</si>
</sst>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/>
    <xf numFmtId="2" fontId="14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6" fillId="0" borderId="1" xfId="0" applyFont="1" applyBorder="1" applyAlignment="1">
      <alignment horizontal="center" vertical="center"/>
    </xf>
    <xf numFmtId="0" fontId="2" fillId="2" borderId="0" xfId="0" applyFont="1" applyFill="1"/>
    <xf numFmtId="0" fontId="4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/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4" fillId="3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0" fillId="3" borderId="0" xfId="0" applyFill="1"/>
    <xf numFmtId="0" fontId="3" fillId="3" borderId="1" xfId="0" applyFont="1" applyFill="1" applyBorder="1"/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14" fillId="0" borderId="0" xfId="0" applyFont="1" applyBorder="1"/>
    <xf numFmtId="0" fontId="3" fillId="0" borderId="0" xfId="0" applyFont="1" applyBorder="1"/>
    <xf numFmtId="0" fontId="3" fillId="0" borderId="2" xfId="0" applyFont="1" applyFill="1" applyBorder="1"/>
    <xf numFmtId="164" fontId="18" fillId="0" borderId="1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2" fontId="21" fillId="0" borderId="0" xfId="0" applyNumberFormat="1" applyFont="1" applyAlignment="1">
      <alignment horizontal="center"/>
    </xf>
    <xf numFmtId="2" fontId="21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5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2" fontId="2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'MODULOS ARDUINO'!$B$175:$E$175</c:f>
              <c:strCache>
                <c:ptCount val="4"/>
                <c:pt idx="0">
                  <c:v>PCA9685 S</c:v>
                </c:pt>
                <c:pt idx="2">
                  <c:v>30.00</c:v>
                </c:pt>
                <c:pt idx="3">
                  <c:v>SIN SOLDAR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'MODULOS ARDUINO'!$F$175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8-4C91-BE51-E1BB40CE1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16104"/>
        <c:axId val="333225752"/>
      </c:barChart>
      <c:catAx>
        <c:axId val="39316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3225752"/>
        <c:crosses val="autoZero"/>
        <c:auto val="1"/>
        <c:lblAlgn val="ctr"/>
        <c:lblOffset val="100"/>
        <c:noMultiLvlLbl val="0"/>
      </c:catAx>
      <c:valAx>
        <c:axId val="33322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31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5"/>
  <sheetViews>
    <sheetView tabSelected="1" workbookViewId="0">
      <pane ySplit="1" topLeftCell="A918" activePane="bottomLeft" state="frozen"/>
      <selection pane="bottomLeft" activeCell="J1131" sqref="J1131"/>
    </sheetView>
  </sheetViews>
  <sheetFormatPr defaultColWidth="11.5546875" defaultRowHeight="21" x14ac:dyDescent="0.4"/>
  <cols>
    <col min="1" max="1" width="52.6640625" customWidth="1"/>
    <col min="2" max="2" width="10.44140625" style="5" bestFit="1" customWidth="1"/>
    <col min="3" max="3" width="29.44140625" customWidth="1"/>
    <col min="4" max="4" width="10.77734375" style="73" customWidth="1"/>
    <col min="5" max="5" width="5.109375" style="65" customWidth="1"/>
    <col min="6" max="6" width="11.33203125" style="63" customWidth="1"/>
    <col min="7" max="7" width="14.21875" style="5" customWidth="1"/>
  </cols>
  <sheetData>
    <row r="1" spans="1:7" ht="23.4" x14ac:dyDescent="0.45">
      <c r="A1" s="76" t="s">
        <v>0</v>
      </c>
      <c r="B1" s="77" t="s">
        <v>1</v>
      </c>
      <c r="C1" s="76" t="s">
        <v>2</v>
      </c>
      <c r="D1" s="74" t="s">
        <v>3</v>
      </c>
      <c r="E1" s="78"/>
      <c r="F1" s="75" t="s">
        <v>1655</v>
      </c>
    </row>
    <row r="2" spans="1:7" x14ac:dyDescent="0.4">
      <c r="A2" s="2">
        <v>1</v>
      </c>
      <c r="B2" s="1"/>
      <c r="C2" s="2"/>
      <c r="D2" s="73">
        <v>5</v>
      </c>
      <c r="E2" s="65">
        <f t="shared" ref="E2:E33" si="0">D2/10.3*G$2</f>
        <v>5.7766990291262132</v>
      </c>
      <c r="F2" s="63">
        <f>ROUND(E2,0)</f>
        <v>6</v>
      </c>
      <c r="G2" s="60">
        <v>11.9</v>
      </c>
    </row>
    <row r="3" spans="1:7" x14ac:dyDescent="0.4">
      <c r="A3" s="6" t="s">
        <v>1827</v>
      </c>
      <c r="B3" s="7">
        <v>82</v>
      </c>
      <c r="C3" s="6"/>
      <c r="D3" s="73">
        <v>5</v>
      </c>
      <c r="E3" s="65">
        <f t="shared" si="0"/>
        <v>5.7766990291262132</v>
      </c>
      <c r="F3" s="63">
        <f t="shared" ref="F3:F65" si="1">ROUND(E3,0)</f>
        <v>6</v>
      </c>
    </row>
    <row r="4" spans="1:7" x14ac:dyDescent="0.4">
      <c r="A4" s="6" t="s">
        <v>1140</v>
      </c>
      <c r="B4" s="8" t="s">
        <v>826</v>
      </c>
      <c r="C4" s="6"/>
      <c r="D4" s="73">
        <v>3</v>
      </c>
      <c r="E4" s="65">
        <f t="shared" si="0"/>
        <v>3.4660194174757279</v>
      </c>
      <c r="F4" s="63">
        <f t="shared" si="1"/>
        <v>3</v>
      </c>
    </row>
    <row r="5" spans="1:7" x14ac:dyDescent="0.4">
      <c r="A5" s="6" t="s">
        <v>1135</v>
      </c>
      <c r="B5" s="7">
        <v>83</v>
      </c>
      <c r="C5" s="6"/>
      <c r="D5" s="73">
        <v>15</v>
      </c>
      <c r="E5" s="65">
        <f t="shared" si="0"/>
        <v>17.33009708737864</v>
      </c>
      <c r="F5" s="63">
        <f t="shared" si="1"/>
        <v>17</v>
      </c>
    </row>
    <row r="6" spans="1:7" x14ac:dyDescent="0.4">
      <c r="A6" s="6" t="s">
        <v>1588</v>
      </c>
      <c r="B6" s="7">
        <v>137</v>
      </c>
      <c r="C6" s="6"/>
      <c r="D6" s="73">
        <v>20</v>
      </c>
      <c r="E6" s="65">
        <f t="shared" si="0"/>
        <v>23.106796116504853</v>
      </c>
      <c r="F6" s="63">
        <f t="shared" si="1"/>
        <v>23</v>
      </c>
    </row>
    <row r="7" spans="1:7" x14ac:dyDescent="0.4">
      <c r="A7" s="6" t="s">
        <v>354</v>
      </c>
      <c r="B7" s="8">
        <v>89</v>
      </c>
      <c r="C7" s="6"/>
      <c r="D7" s="73">
        <v>5</v>
      </c>
      <c r="E7" s="65">
        <f t="shared" si="0"/>
        <v>5.7766990291262132</v>
      </c>
      <c r="F7" s="63">
        <f t="shared" si="1"/>
        <v>6</v>
      </c>
    </row>
    <row r="8" spans="1:7" x14ac:dyDescent="0.4">
      <c r="A8" s="6" t="s">
        <v>352</v>
      </c>
      <c r="B8" s="8">
        <v>89</v>
      </c>
      <c r="C8" s="6"/>
      <c r="D8" s="73">
        <v>5</v>
      </c>
      <c r="E8" s="65">
        <f t="shared" si="0"/>
        <v>5.7766990291262132</v>
      </c>
      <c r="F8" s="63">
        <f t="shared" si="1"/>
        <v>6</v>
      </c>
    </row>
    <row r="9" spans="1:7" x14ac:dyDescent="0.4">
      <c r="A9" s="6" t="s">
        <v>353</v>
      </c>
      <c r="B9" s="8">
        <v>89</v>
      </c>
      <c r="C9" s="6"/>
      <c r="D9" s="73">
        <v>5</v>
      </c>
      <c r="E9" s="65">
        <f t="shared" si="0"/>
        <v>5.7766990291262132</v>
      </c>
      <c r="F9" s="63">
        <f t="shared" si="1"/>
        <v>6</v>
      </c>
    </row>
    <row r="10" spans="1:7" x14ac:dyDescent="0.4">
      <c r="A10" s="6" t="s">
        <v>248</v>
      </c>
      <c r="B10" s="8">
        <v>59</v>
      </c>
      <c r="C10" s="6" t="s">
        <v>801</v>
      </c>
      <c r="D10" s="73">
        <v>1</v>
      </c>
      <c r="E10" s="65">
        <f t="shared" si="0"/>
        <v>1.1553398058252426</v>
      </c>
      <c r="F10" s="63">
        <f t="shared" si="1"/>
        <v>1</v>
      </c>
    </row>
    <row r="11" spans="1:7" x14ac:dyDescent="0.4">
      <c r="A11" s="6" t="s">
        <v>526</v>
      </c>
      <c r="B11" s="7">
        <v>126</v>
      </c>
      <c r="C11" s="6" t="s">
        <v>802</v>
      </c>
      <c r="D11" s="73">
        <v>15</v>
      </c>
      <c r="E11" s="65">
        <f t="shared" si="0"/>
        <v>17.33009708737864</v>
      </c>
      <c r="F11" s="63">
        <f t="shared" si="1"/>
        <v>17</v>
      </c>
    </row>
    <row r="12" spans="1:7" s="4" customFormat="1" x14ac:dyDescent="0.4">
      <c r="A12" s="6" t="s">
        <v>241</v>
      </c>
      <c r="B12" s="8">
        <v>58</v>
      </c>
      <c r="C12" s="6"/>
      <c r="D12" s="73">
        <v>1</v>
      </c>
      <c r="E12" s="65">
        <f t="shared" si="0"/>
        <v>1.1553398058252426</v>
      </c>
      <c r="F12" s="63">
        <f t="shared" si="1"/>
        <v>1</v>
      </c>
      <c r="G12" s="61"/>
    </row>
    <row r="13" spans="1:7" x14ac:dyDescent="0.4">
      <c r="A13" s="11" t="s">
        <v>1607</v>
      </c>
      <c r="B13" s="7">
        <v>132</v>
      </c>
      <c r="C13" s="11"/>
      <c r="D13" s="73">
        <v>17</v>
      </c>
      <c r="E13" s="65">
        <f t="shared" si="0"/>
        <v>19.640776699029125</v>
      </c>
      <c r="F13" s="63">
        <f t="shared" si="1"/>
        <v>20</v>
      </c>
    </row>
    <row r="14" spans="1:7" x14ac:dyDescent="0.4">
      <c r="A14" s="6" t="s">
        <v>304</v>
      </c>
      <c r="B14" s="8">
        <v>75</v>
      </c>
      <c r="C14" s="6"/>
      <c r="D14" s="73">
        <v>1</v>
      </c>
      <c r="E14" s="65">
        <f t="shared" si="0"/>
        <v>1.1553398058252426</v>
      </c>
      <c r="F14" s="63">
        <f t="shared" si="1"/>
        <v>1</v>
      </c>
    </row>
    <row r="15" spans="1:7" x14ac:dyDescent="0.4">
      <c r="A15" s="6" t="s">
        <v>547</v>
      </c>
      <c r="B15" s="7">
        <v>132</v>
      </c>
      <c r="C15" s="6"/>
      <c r="D15" s="73">
        <v>20</v>
      </c>
      <c r="E15" s="65">
        <f t="shared" si="0"/>
        <v>23.106796116504853</v>
      </c>
      <c r="F15" s="63">
        <f t="shared" si="1"/>
        <v>23</v>
      </c>
    </row>
    <row r="16" spans="1:7" x14ac:dyDescent="0.4">
      <c r="A16" s="6" t="s">
        <v>305</v>
      </c>
      <c r="B16" s="8">
        <v>75</v>
      </c>
      <c r="C16" s="6"/>
      <c r="D16" s="73">
        <v>4</v>
      </c>
      <c r="E16" s="65">
        <f t="shared" si="0"/>
        <v>4.6213592233009706</v>
      </c>
      <c r="F16" s="63">
        <f t="shared" si="1"/>
        <v>5</v>
      </c>
    </row>
    <row r="17" spans="1:7" s="3" customFormat="1" x14ac:dyDescent="0.4">
      <c r="A17" s="6" t="s">
        <v>246</v>
      </c>
      <c r="B17" s="8">
        <v>59</v>
      </c>
      <c r="C17" s="6"/>
      <c r="D17" s="73">
        <v>1</v>
      </c>
      <c r="E17" s="65">
        <f t="shared" si="0"/>
        <v>1.1553398058252426</v>
      </c>
      <c r="F17" s="63">
        <f t="shared" si="1"/>
        <v>1</v>
      </c>
      <c r="G17" s="62"/>
    </row>
    <row r="18" spans="1:7" s="4" customFormat="1" x14ac:dyDescent="0.4">
      <c r="A18" s="6" t="s">
        <v>249</v>
      </c>
      <c r="B18" s="8">
        <v>59</v>
      </c>
      <c r="C18" s="6"/>
      <c r="D18" s="73">
        <v>1</v>
      </c>
      <c r="E18" s="65">
        <f t="shared" si="0"/>
        <v>1.1553398058252426</v>
      </c>
      <c r="F18" s="63">
        <f t="shared" si="1"/>
        <v>1</v>
      </c>
      <c r="G18" s="61"/>
    </row>
    <row r="19" spans="1:7" s="3" customFormat="1" x14ac:dyDescent="0.4">
      <c r="A19" s="6" t="s">
        <v>1108</v>
      </c>
      <c r="B19" s="7">
        <v>74</v>
      </c>
      <c r="C19" s="6"/>
      <c r="D19" s="73">
        <v>1</v>
      </c>
      <c r="E19" s="65">
        <f t="shared" si="0"/>
        <v>1.1553398058252426</v>
      </c>
      <c r="F19" s="63">
        <f t="shared" si="1"/>
        <v>1</v>
      </c>
      <c r="G19" s="62"/>
    </row>
    <row r="20" spans="1:7" s="4" customFormat="1" x14ac:dyDescent="0.4">
      <c r="A20" s="6" t="s">
        <v>10</v>
      </c>
      <c r="B20" s="8">
        <v>11</v>
      </c>
      <c r="C20" s="6"/>
      <c r="D20" s="73">
        <v>1</v>
      </c>
      <c r="E20" s="65">
        <f t="shared" si="0"/>
        <v>1.1553398058252426</v>
      </c>
      <c r="F20" s="63">
        <f t="shared" si="1"/>
        <v>1</v>
      </c>
      <c r="G20" s="61"/>
    </row>
    <row r="21" spans="1:7" s="3" customFormat="1" x14ac:dyDescent="0.4">
      <c r="A21" s="6" t="s">
        <v>9</v>
      </c>
      <c r="B21" s="8">
        <v>11</v>
      </c>
      <c r="C21" s="6"/>
      <c r="D21" s="73">
        <v>1</v>
      </c>
      <c r="E21" s="65">
        <f t="shared" si="0"/>
        <v>1.1553398058252426</v>
      </c>
      <c r="F21" s="63">
        <f t="shared" si="1"/>
        <v>1</v>
      </c>
      <c r="G21" s="62"/>
    </row>
    <row r="22" spans="1:7" x14ac:dyDescent="0.4">
      <c r="A22" s="6" t="s">
        <v>11</v>
      </c>
      <c r="B22" s="8">
        <v>115</v>
      </c>
      <c r="C22" s="6"/>
      <c r="D22" s="73">
        <v>1</v>
      </c>
      <c r="E22" s="65">
        <f t="shared" si="0"/>
        <v>1.1553398058252426</v>
      </c>
      <c r="F22" s="63">
        <f t="shared" si="1"/>
        <v>1</v>
      </c>
    </row>
    <row r="23" spans="1:7" x14ac:dyDescent="0.4">
      <c r="A23" s="6" t="s">
        <v>587</v>
      </c>
      <c r="B23" s="7">
        <v>140</v>
      </c>
      <c r="C23" s="6"/>
      <c r="D23" s="73">
        <v>8</v>
      </c>
      <c r="E23" s="65">
        <f t="shared" si="0"/>
        <v>9.2427184466019412</v>
      </c>
      <c r="F23" s="63">
        <f t="shared" si="1"/>
        <v>9</v>
      </c>
    </row>
    <row r="24" spans="1:7" x14ac:dyDescent="0.4">
      <c r="A24" s="6" t="s">
        <v>1038</v>
      </c>
      <c r="B24" s="8">
        <v>66</v>
      </c>
      <c r="C24" s="6"/>
      <c r="D24" s="73">
        <v>15</v>
      </c>
      <c r="E24" s="65">
        <f t="shared" si="0"/>
        <v>17.33009708737864</v>
      </c>
      <c r="F24" s="63">
        <f t="shared" si="1"/>
        <v>17</v>
      </c>
    </row>
    <row r="25" spans="1:7" x14ac:dyDescent="0.4">
      <c r="A25" s="6" t="s">
        <v>1037</v>
      </c>
      <c r="B25" s="8">
        <v>66</v>
      </c>
      <c r="C25" s="6"/>
      <c r="D25" s="73">
        <v>15</v>
      </c>
      <c r="E25" s="65">
        <f t="shared" si="0"/>
        <v>17.33009708737864</v>
      </c>
      <c r="F25" s="63">
        <f t="shared" si="1"/>
        <v>17</v>
      </c>
    </row>
    <row r="26" spans="1:7" x14ac:dyDescent="0.4">
      <c r="A26" s="6" t="s">
        <v>1602</v>
      </c>
      <c r="B26" s="7">
        <v>68</v>
      </c>
      <c r="C26" s="6" t="s">
        <v>1603</v>
      </c>
      <c r="D26" s="73">
        <v>1</v>
      </c>
      <c r="E26" s="65">
        <f t="shared" si="0"/>
        <v>1.1553398058252426</v>
      </c>
      <c r="F26" s="63">
        <f t="shared" si="1"/>
        <v>1</v>
      </c>
    </row>
    <row r="27" spans="1:7" x14ac:dyDescent="0.4">
      <c r="A27" s="6" t="s">
        <v>1601</v>
      </c>
      <c r="B27" s="7">
        <v>46</v>
      </c>
      <c r="C27" s="6"/>
      <c r="D27" s="73">
        <v>12</v>
      </c>
      <c r="E27" s="65">
        <f t="shared" si="0"/>
        <v>13.864077669902912</v>
      </c>
      <c r="F27" s="63">
        <f t="shared" si="1"/>
        <v>14</v>
      </c>
    </row>
    <row r="28" spans="1:7" x14ac:dyDescent="0.4">
      <c r="A28" s="6" t="s">
        <v>573</v>
      </c>
      <c r="B28" s="7">
        <v>138</v>
      </c>
      <c r="C28" s="6"/>
      <c r="D28" s="73">
        <v>10</v>
      </c>
      <c r="E28" s="65">
        <f t="shared" si="0"/>
        <v>11.553398058252426</v>
      </c>
      <c r="F28" s="63">
        <f t="shared" si="1"/>
        <v>12</v>
      </c>
    </row>
    <row r="29" spans="1:7" x14ac:dyDescent="0.4">
      <c r="A29" s="6" t="s">
        <v>615</v>
      </c>
      <c r="B29" s="7">
        <v>3</v>
      </c>
      <c r="C29" s="6" t="s">
        <v>1054</v>
      </c>
      <c r="D29" s="73">
        <v>10</v>
      </c>
      <c r="E29" s="65">
        <f t="shared" si="0"/>
        <v>11.553398058252426</v>
      </c>
      <c r="F29" s="63">
        <f t="shared" si="1"/>
        <v>12</v>
      </c>
    </row>
    <row r="30" spans="1:7" x14ac:dyDescent="0.4">
      <c r="A30" s="6" t="s">
        <v>65</v>
      </c>
      <c r="B30" s="8">
        <v>24</v>
      </c>
      <c r="C30" s="6"/>
      <c r="D30" s="73">
        <v>5</v>
      </c>
      <c r="E30" s="65">
        <f t="shared" si="0"/>
        <v>5.7766990291262132</v>
      </c>
      <c r="F30" s="63">
        <f t="shared" si="1"/>
        <v>6</v>
      </c>
    </row>
    <row r="31" spans="1:7" x14ac:dyDescent="0.4">
      <c r="A31" s="6" t="s">
        <v>1092</v>
      </c>
      <c r="B31" s="7">
        <v>24</v>
      </c>
      <c r="C31" s="6"/>
      <c r="D31" s="73">
        <v>4.5</v>
      </c>
      <c r="E31" s="65">
        <f t="shared" si="0"/>
        <v>5.1990291262135919</v>
      </c>
      <c r="F31" s="63">
        <f t="shared" si="1"/>
        <v>5</v>
      </c>
    </row>
    <row r="32" spans="1:7" x14ac:dyDescent="0.4">
      <c r="A32" s="6" t="s">
        <v>66</v>
      </c>
      <c r="B32" s="8">
        <v>24</v>
      </c>
      <c r="C32" s="6"/>
      <c r="D32" s="73">
        <v>5</v>
      </c>
      <c r="E32" s="65">
        <f t="shared" si="0"/>
        <v>5.7766990291262132</v>
      </c>
      <c r="F32" s="63">
        <f t="shared" si="1"/>
        <v>6</v>
      </c>
    </row>
    <row r="33" spans="1:6" x14ac:dyDescent="0.4">
      <c r="A33" s="6" t="s">
        <v>67</v>
      </c>
      <c r="B33" s="8">
        <v>24</v>
      </c>
      <c r="C33" s="6"/>
      <c r="D33" s="73">
        <v>5</v>
      </c>
      <c r="E33" s="65">
        <f t="shared" si="0"/>
        <v>5.7766990291262132</v>
      </c>
      <c r="F33" s="63">
        <f t="shared" si="1"/>
        <v>6</v>
      </c>
    </row>
    <row r="34" spans="1:6" x14ac:dyDescent="0.4">
      <c r="A34" s="6" t="s">
        <v>12</v>
      </c>
      <c r="B34" s="8">
        <v>12</v>
      </c>
      <c r="C34" s="6" t="s">
        <v>13</v>
      </c>
      <c r="D34" s="73">
        <v>5</v>
      </c>
      <c r="E34" s="65">
        <f t="shared" ref="E34:E65" si="2">D34/10.3*G$2</f>
        <v>5.7766990291262132</v>
      </c>
      <c r="F34" s="63">
        <f t="shared" si="1"/>
        <v>6</v>
      </c>
    </row>
    <row r="35" spans="1:6" x14ac:dyDescent="0.4">
      <c r="A35" s="6" t="s">
        <v>14</v>
      </c>
      <c r="B35" s="8">
        <v>12</v>
      </c>
      <c r="C35" s="6" t="s">
        <v>13</v>
      </c>
      <c r="D35" s="73">
        <v>5</v>
      </c>
      <c r="E35" s="65">
        <f t="shared" si="2"/>
        <v>5.7766990291262132</v>
      </c>
      <c r="F35" s="63">
        <f t="shared" si="1"/>
        <v>6</v>
      </c>
    </row>
    <row r="36" spans="1:6" x14ac:dyDescent="0.4">
      <c r="A36" s="6" t="s">
        <v>17</v>
      </c>
      <c r="B36" s="8">
        <v>12</v>
      </c>
      <c r="C36" s="6" t="s">
        <v>13</v>
      </c>
      <c r="D36" s="73">
        <v>5</v>
      </c>
      <c r="E36" s="65">
        <f t="shared" si="2"/>
        <v>5.7766990291262132</v>
      </c>
      <c r="F36" s="63">
        <f t="shared" si="1"/>
        <v>6</v>
      </c>
    </row>
    <row r="37" spans="1:6" x14ac:dyDescent="0.4">
      <c r="A37" s="6" t="s">
        <v>1580</v>
      </c>
      <c r="B37" s="7" t="s">
        <v>1794</v>
      </c>
      <c r="C37" s="6"/>
      <c r="D37" s="73">
        <v>20</v>
      </c>
      <c r="E37" s="65">
        <f t="shared" si="2"/>
        <v>23.106796116504853</v>
      </c>
      <c r="F37" s="63">
        <f t="shared" si="1"/>
        <v>23</v>
      </c>
    </row>
    <row r="38" spans="1:6" x14ac:dyDescent="0.4">
      <c r="A38" s="6" t="s">
        <v>158</v>
      </c>
      <c r="B38" s="8">
        <v>39</v>
      </c>
      <c r="C38" s="6"/>
      <c r="D38" s="73">
        <v>10</v>
      </c>
      <c r="E38" s="65">
        <f t="shared" si="2"/>
        <v>11.553398058252426</v>
      </c>
      <c r="F38" s="63">
        <f t="shared" si="1"/>
        <v>12</v>
      </c>
    </row>
    <row r="39" spans="1:6" x14ac:dyDescent="0.4">
      <c r="A39" s="6" t="s">
        <v>932</v>
      </c>
      <c r="B39" s="8">
        <v>49</v>
      </c>
      <c r="C39" s="6"/>
      <c r="D39" s="73">
        <v>15</v>
      </c>
      <c r="E39" s="65">
        <f t="shared" si="2"/>
        <v>17.33009708737864</v>
      </c>
      <c r="F39" s="63">
        <f t="shared" si="1"/>
        <v>17</v>
      </c>
    </row>
    <row r="40" spans="1:6" x14ac:dyDescent="0.4">
      <c r="A40" s="6" t="s">
        <v>135</v>
      </c>
      <c r="B40" s="8">
        <v>37</v>
      </c>
      <c r="C40" s="6"/>
      <c r="D40" s="73">
        <v>10</v>
      </c>
      <c r="E40" s="65">
        <f t="shared" si="2"/>
        <v>11.553398058252426</v>
      </c>
      <c r="F40" s="63">
        <f t="shared" si="1"/>
        <v>12</v>
      </c>
    </row>
    <row r="41" spans="1:6" x14ac:dyDescent="0.4">
      <c r="A41" s="6" t="s">
        <v>243</v>
      </c>
      <c r="B41" s="8">
        <v>58</v>
      </c>
      <c r="C41" s="6"/>
      <c r="D41" s="73">
        <v>12</v>
      </c>
      <c r="E41" s="65">
        <f t="shared" si="2"/>
        <v>13.864077669902912</v>
      </c>
      <c r="F41" s="63">
        <f t="shared" si="1"/>
        <v>14</v>
      </c>
    </row>
    <row r="42" spans="1:6" x14ac:dyDescent="0.4">
      <c r="A42" s="6" t="s">
        <v>461</v>
      </c>
      <c r="B42" s="7">
        <v>111</v>
      </c>
      <c r="C42" s="6" t="s">
        <v>462</v>
      </c>
      <c r="D42" s="73">
        <v>7</v>
      </c>
      <c r="E42" s="65">
        <f t="shared" si="2"/>
        <v>8.0873786407766985</v>
      </c>
      <c r="F42" s="63">
        <f t="shared" si="1"/>
        <v>8</v>
      </c>
    </row>
    <row r="43" spans="1:6" x14ac:dyDescent="0.4">
      <c r="A43" s="9" t="s">
        <v>590</v>
      </c>
      <c r="B43" s="10">
        <v>141</v>
      </c>
      <c r="C43" s="9"/>
      <c r="D43" s="73">
        <v>5</v>
      </c>
      <c r="E43" s="65">
        <f t="shared" si="2"/>
        <v>5.7766990291262132</v>
      </c>
      <c r="F43" s="63">
        <f t="shared" si="1"/>
        <v>6</v>
      </c>
    </row>
    <row r="44" spans="1:6" x14ac:dyDescent="0.4">
      <c r="A44" s="6" t="s">
        <v>81</v>
      </c>
      <c r="B44" s="8">
        <v>29</v>
      </c>
      <c r="C44" s="6"/>
      <c r="D44" s="73">
        <v>3</v>
      </c>
      <c r="E44" s="65">
        <f t="shared" si="2"/>
        <v>3.4660194174757279</v>
      </c>
      <c r="F44" s="63">
        <f t="shared" si="1"/>
        <v>3</v>
      </c>
    </row>
    <row r="45" spans="1:6" x14ac:dyDescent="0.4">
      <c r="A45" s="6" t="s">
        <v>300</v>
      </c>
      <c r="B45" s="8">
        <v>74</v>
      </c>
      <c r="C45" s="6"/>
      <c r="D45" s="73">
        <v>1</v>
      </c>
      <c r="E45" s="65">
        <f t="shared" si="2"/>
        <v>1.1553398058252426</v>
      </c>
      <c r="F45" s="63">
        <f t="shared" si="1"/>
        <v>1</v>
      </c>
    </row>
    <row r="46" spans="1:6" x14ac:dyDescent="0.4">
      <c r="A46" s="6" t="s">
        <v>443</v>
      </c>
      <c r="B46" s="7">
        <v>108</v>
      </c>
      <c r="C46" s="6"/>
      <c r="D46" s="73">
        <v>15</v>
      </c>
      <c r="E46" s="65">
        <f t="shared" si="2"/>
        <v>17.33009708737864</v>
      </c>
      <c r="F46" s="63">
        <f t="shared" si="1"/>
        <v>17</v>
      </c>
    </row>
    <row r="47" spans="1:6" x14ac:dyDescent="0.4">
      <c r="A47" s="6" t="s">
        <v>532</v>
      </c>
      <c r="B47" s="7">
        <v>127</v>
      </c>
      <c r="C47" s="6" t="s">
        <v>529</v>
      </c>
      <c r="D47" s="73">
        <v>10</v>
      </c>
      <c r="E47" s="65">
        <f t="shared" si="2"/>
        <v>11.553398058252426</v>
      </c>
      <c r="F47" s="63">
        <f t="shared" si="1"/>
        <v>12</v>
      </c>
    </row>
    <row r="48" spans="1:6" x14ac:dyDescent="0.4">
      <c r="A48" s="6" t="s">
        <v>528</v>
      </c>
      <c r="B48" s="7">
        <v>127</v>
      </c>
      <c r="C48" s="6" t="s">
        <v>529</v>
      </c>
      <c r="D48" s="73">
        <v>15</v>
      </c>
      <c r="E48" s="65">
        <f t="shared" si="2"/>
        <v>17.33009708737864</v>
      </c>
      <c r="F48" s="63">
        <f t="shared" si="1"/>
        <v>17</v>
      </c>
    </row>
    <row r="49" spans="1:6" x14ac:dyDescent="0.4">
      <c r="A49" s="9" t="s">
        <v>583</v>
      </c>
      <c r="B49" s="10">
        <v>140</v>
      </c>
      <c r="C49" s="9"/>
      <c r="D49" s="73">
        <v>10</v>
      </c>
      <c r="E49" s="65">
        <f t="shared" si="2"/>
        <v>11.553398058252426</v>
      </c>
      <c r="F49" s="63">
        <f t="shared" si="1"/>
        <v>12</v>
      </c>
    </row>
    <row r="50" spans="1:6" x14ac:dyDescent="0.4">
      <c r="A50" s="6" t="s">
        <v>307</v>
      </c>
      <c r="B50" s="8">
        <v>76</v>
      </c>
      <c r="C50" s="6"/>
      <c r="D50" s="73">
        <v>12</v>
      </c>
      <c r="E50" s="65">
        <f t="shared" si="2"/>
        <v>13.864077669902912</v>
      </c>
      <c r="F50" s="63">
        <f t="shared" si="1"/>
        <v>14</v>
      </c>
    </row>
    <row r="51" spans="1:6" x14ac:dyDescent="0.4">
      <c r="A51" s="9" t="s">
        <v>578</v>
      </c>
      <c r="B51" s="10">
        <v>139</v>
      </c>
      <c r="C51" s="9"/>
      <c r="D51" s="73">
        <v>7</v>
      </c>
      <c r="E51" s="65">
        <f t="shared" si="2"/>
        <v>8.0873786407766985</v>
      </c>
      <c r="F51" s="63">
        <f t="shared" si="1"/>
        <v>8</v>
      </c>
    </row>
    <row r="52" spans="1:6" x14ac:dyDescent="0.4">
      <c r="A52" s="6" t="s">
        <v>570</v>
      </c>
      <c r="B52" s="7">
        <v>138</v>
      </c>
      <c r="C52" s="6"/>
      <c r="D52" s="73">
        <v>23</v>
      </c>
      <c r="E52" s="65">
        <f t="shared" si="2"/>
        <v>26.572815533980581</v>
      </c>
      <c r="F52" s="63">
        <f t="shared" si="1"/>
        <v>27</v>
      </c>
    </row>
    <row r="53" spans="1:6" x14ac:dyDescent="0.4">
      <c r="A53" s="6" t="s">
        <v>571</v>
      </c>
      <c r="B53" s="7">
        <v>138</v>
      </c>
      <c r="C53" s="6"/>
      <c r="D53" s="73">
        <v>15</v>
      </c>
      <c r="E53" s="65">
        <f t="shared" si="2"/>
        <v>17.33009708737864</v>
      </c>
      <c r="F53" s="63">
        <f t="shared" si="1"/>
        <v>17</v>
      </c>
    </row>
    <row r="54" spans="1:6" x14ac:dyDescent="0.4">
      <c r="A54" s="6" t="s">
        <v>559</v>
      </c>
      <c r="B54" s="7">
        <v>134</v>
      </c>
      <c r="C54" s="6"/>
      <c r="D54" s="73">
        <v>15</v>
      </c>
      <c r="E54" s="65">
        <f t="shared" si="2"/>
        <v>17.33009708737864</v>
      </c>
      <c r="F54" s="63">
        <f t="shared" si="1"/>
        <v>17</v>
      </c>
    </row>
    <row r="55" spans="1:6" x14ac:dyDescent="0.4">
      <c r="A55" s="6" t="s">
        <v>1086</v>
      </c>
      <c r="B55" s="7">
        <v>134</v>
      </c>
      <c r="C55" s="6"/>
      <c r="D55" s="73">
        <v>25</v>
      </c>
      <c r="E55" s="65">
        <f t="shared" si="2"/>
        <v>28.883495145631066</v>
      </c>
      <c r="F55" s="63">
        <f t="shared" si="1"/>
        <v>29</v>
      </c>
    </row>
    <row r="56" spans="1:6" x14ac:dyDescent="0.4">
      <c r="A56" s="6" t="s">
        <v>1035</v>
      </c>
      <c r="B56" s="8">
        <v>82</v>
      </c>
      <c r="C56" s="6"/>
      <c r="D56" s="73">
        <v>15</v>
      </c>
      <c r="E56" s="65">
        <f t="shared" si="2"/>
        <v>17.33009708737864</v>
      </c>
      <c r="F56" s="63">
        <f t="shared" si="1"/>
        <v>17</v>
      </c>
    </row>
    <row r="57" spans="1:6" x14ac:dyDescent="0.4">
      <c r="A57" s="6" t="s">
        <v>1035</v>
      </c>
      <c r="B57" s="7">
        <v>82</v>
      </c>
      <c r="C57" s="6"/>
      <c r="D57" s="73">
        <v>15</v>
      </c>
      <c r="E57" s="65">
        <f t="shared" si="2"/>
        <v>17.33009708737864</v>
      </c>
      <c r="F57" s="63">
        <f t="shared" si="1"/>
        <v>17</v>
      </c>
    </row>
    <row r="58" spans="1:6" x14ac:dyDescent="0.4">
      <c r="A58" s="6" t="s">
        <v>298</v>
      </c>
      <c r="B58" s="8">
        <v>74</v>
      </c>
      <c r="C58" s="6"/>
      <c r="D58" s="73">
        <v>1</v>
      </c>
      <c r="E58" s="65">
        <f t="shared" si="2"/>
        <v>1.1553398058252426</v>
      </c>
      <c r="F58" s="63">
        <f t="shared" si="1"/>
        <v>1</v>
      </c>
    </row>
    <row r="59" spans="1:6" x14ac:dyDescent="0.4">
      <c r="A59" s="6" t="s">
        <v>19</v>
      </c>
      <c r="B59" s="8">
        <v>13</v>
      </c>
      <c r="C59" s="6"/>
      <c r="D59" s="73">
        <v>5</v>
      </c>
      <c r="E59" s="65">
        <f t="shared" si="2"/>
        <v>5.7766990291262132</v>
      </c>
      <c r="F59" s="63">
        <f t="shared" si="1"/>
        <v>6</v>
      </c>
    </row>
    <row r="60" spans="1:6" x14ac:dyDescent="0.4">
      <c r="A60" s="6" t="s">
        <v>498</v>
      </c>
      <c r="B60" s="7">
        <v>116</v>
      </c>
      <c r="C60" s="6" t="s">
        <v>947</v>
      </c>
      <c r="D60" s="73">
        <v>10</v>
      </c>
      <c r="E60" s="65">
        <f t="shared" si="2"/>
        <v>11.553398058252426</v>
      </c>
      <c r="F60" s="63">
        <f t="shared" si="1"/>
        <v>12</v>
      </c>
    </row>
    <row r="61" spans="1:6" x14ac:dyDescent="0.4">
      <c r="A61" s="6" t="s">
        <v>1611</v>
      </c>
      <c r="B61" s="7">
        <v>116</v>
      </c>
      <c r="C61" s="6"/>
      <c r="D61" s="73">
        <v>12</v>
      </c>
      <c r="E61" s="65">
        <f t="shared" si="2"/>
        <v>13.864077669902912</v>
      </c>
      <c r="F61" s="63">
        <f t="shared" si="1"/>
        <v>14</v>
      </c>
    </row>
    <row r="62" spans="1:6" x14ac:dyDescent="0.4">
      <c r="A62" s="6" t="s">
        <v>496</v>
      </c>
      <c r="B62" s="7">
        <v>116</v>
      </c>
      <c r="C62" s="6" t="s">
        <v>947</v>
      </c>
      <c r="D62" s="73">
        <v>10.5</v>
      </c>
      <c r="E62" s="65">
        <f t="shared" si="2"/>
        <v>12.13106796116505</v>
      </c>
      <c r="F62" s="63">
        <f t="shared" si="1"/>
        <v>12</v>
      </c>
    </row>
    <row r="63" spans="1:6" x14ac:dyDescent="0.4">
      <c r="A63" s="6" t="s">
        <v>948</v>
      </c>
      <c r="B63" s="8">
        <v>65</v>
      </c>
      <c r="C63" s="6" t="s">
        <v>947</v>
      </c>
      <c r="D63" s="73">
        <v>10</v>
      </c>
      <c r="E63" s="65">
        <f t="shared" si="2"/>
        <v>11.553398058252426</v>
      </c>
      <c r="F63" s="63">
        <f t="shared" si="1"/>
        <v>12</v>
      </c>
    </row>
    <row r="64" spans="1:6" x14ac:dyDescent="0.4">
      <c r="A64" s="6" t="s">
        <v>1587</v>
      </c>
      <c r="B64" s="7">
        <v>135</v>
      </c>
      <c r="C64" s="6"/>
      <c r="D64" s="73">
        <v>20</v>
      </c>
      <c r="E64" s="65">
        <f t="shared" si="2"/>
        <v>23.106796116504853</v>
      </c>
      <c r="F64" s="63">
        <f t="shared" si="1"/>
        <v>23</v>
      </c>
    </row>
    <row r="65" spans="1:6" x14ac:dyDescent="0.4">
      <c r="A65" s="6" t="s">
        <v>501</v>
      </c>
      <c r="B65" s="7">
        <v>117</v>
      </c>
      <c r="C65" s="6"/>
      <c r="D65" s="73">
        <v>30</v>
      </c>
      <c r="E65" s="65">
        <f t="shared" si="2"/>
        <v>34.660194174757279</v>
      </c>
      <c r="F65" s="63">
        <f t="shared" si="1"/>
        <v>35</v>
      </c>
    </row>
    <row r="66" spans="1:6" x14ac:dyDescent="0.4">
      <c r="A66" s="6" t="s">
        <v>503</v>
      </c>
      <c r="B66" s="7">
        <v>117</v>
      </c>
      <c r="C66" s="6"/>
      <c r="D66" s="73">
        <v>35</v>
      </c>
      <c r="E66" s="65">
        <f t="shared" ref="E66:E77" si="3">D66/10.3*G$2</f>
        <v>40.436893203883493</v>
      </c>
      <c r="F66" s="63">
        <f t="shared" ref="F66:F129" si="4">ROUND(E66,0)</f>
        <v>40</v>
      </c>
    </row>
    <row r="67" spans="1:6" x14ac:dyDescent="0.4">
      <c r="A67" s="6" t="s">
        <v>1040</v>
      </c>
      <c r="B67" s="8">
        <v>66</v>
      </c>
      <c r="C67" s="6" t="s">
        <v>1039</v>
      </c>
      <c r="D67" s="73">
        <v>120</v>
      </c>
      <c r="E67" s="65">
        <f t="shared" si="3"/>
        <v>138.64077669902912</v>
      </c>
      <c r="F67" s="63">
        <f t="shared" si="4"/>
        <v>139</v>
      </c>
    </row>
    <row r="68" spans="1:6" x14ac:dyDescent="0.4">
      <c r="A68" s="6" t="s">
        <v>1822</v>
      </c>
      <c r="B68" s="7">
        <v>113</v>
      </c>
      <c r="C68" s="6"/>
      <c r="D68" s="73">
        <v>0</v>
      </c>
      <c r="E68" s="65">
        <f t="shared" si="3"/>
        <v>0</v>
      </c>
      <c r="F68" s="63">
        <v>20</v>
      </c>
    </row>
    <row r="69" spans="1:6" x14ac:dyDescent="0.4">
      <c r="A69" s="6" t="s">
        <v>1052</v>
      </c>
      <c r="B69" s="7">
        <v>3</v>
      </c>
      <c r="C69" s="6" t="s">
        <v>1053</v>
      </c>
      <c r="D69" s="73">
        <v>10</v>
      </c>
      <c r="E69" s="65">
        <f t="shared" si="3"/>
        <v>11.553398058252426</v>
      </c>
      <c r="F69" s="63">
        <f t="shared" si="4"/>
        <v>12</v>
      </c>
    </row>
    <row r="70" spans="1:6" x14ac:dyDescent="0.4">
      <c r="A70" s="6" t="s">
        <v>1031</v>
      </c>
      <c r="B70" s="8">
        <v>82</v>
      </c>
      <c r="C70" s="6" t="s">
        <v>1030</v>
      </c>
      <c r="D70" s="73">
        <v>3</v>
      </c>
      <c r="E70" s="65">
        <f t="shared" si="3"/>
        <v>3.4660194174757279</v>
      </c>
      <c r="F70" s="63">
        <f t="shared" si="4"/>
        <v>3</v>
      </c>
    </row>
    <row r="71" spans="1:6" x14ac:dyDescent="0.4">
      <c r="A71" s="6" t="s">
        <v>1032</v>
      </c>
      <c r="B71" s="8">
        <v>82</v>
      </c>
      <c r="C71" s="6" t="s">
        <v>1033</v>
      </c>
      <c r="D71" s="73">
        <v>3</v>
      </c>
      <c r="E71" s="65">
        <f t="shared" si="3"/>
        <v>3.4660194174757279</v>
      </c>
      <c r="F71" s="63">
        <f t="shared" si="4"/>
        <v>3</v>
      </c>
    </row>
    <row r="72" spans="1:6" x14ac:dyDescent="0.4">
      <c r="A72" s="6" t="s">
        <v>177</v>
      </c>
      <c r="B72" s="8">
        <v>42</v>
      </c>
      <c r="C72" s="6"/>
      <c r="D72" s="73">
        <v>15</v>
      </c>
      <c r="E72" s="65">
        <f t="shared" si="3"/>
        <v>17.33009708737864</v>
      </c>
      <c r="F72" s="63">
        <f t="shared" si="4"/>
        <v>17</v>
      </c>
    </row>
    <row r="73" spans="1:6" x14ac:dyDescent="0.4">
      <c r="A73" s="6" t="s">
        <v>175</v>
      </c>
      <c r="B73" s="8" t="s">
        <v>1667</v>
      </c>
      <c r="C73" s="6"/>
      <c r="D73" s="73">
        <v>10</v>
      </c>
      <c r="E73" s="65">
        <f t="shared" si="3"/>
        <v>11.553398058252426</v>
      </c>
      <c r="F73" s="63">
        <f t="shared" si="4"/>
        <v>12</v>
      </c>
    </row>
    <row r="74" spans="1:6" x14ac:dyDescent="0.4">
      <c r="A74" s="6" t="s">
        <v>175</v>
      </c>
      <c r="B74" s="8">
        <v>42</v>
      </c>
      <c r="C74" s="6"/>
      <c r="D74" s="73">
        <v>10</v>
      </c>
      <c r="E74" s="65">
        <f t="shared" si="3"/>
        <v>11.553398058252426</v>
      </c>
      <c r="F74" s="63">
        <f t="shared" si="4"/>
        <v>12</v>
      </c>
    </row>
    <row r="75" spans="1:6" x14ac:dyDescent="0.4">
      <c r="A75" s="6" t="s">
        <v>395</v>
      </c>
      <c r="B75" s="7">
        <v>98</v>
      </c>
      <c r="C75" s="6" t="s">
        <v>396</v>
      </c>
      <c r="D75" s="73">
        <v>10</v>
      </c>
      <c r="E75" s="65">
        <f t="shared" si="3"/>
        <v>11.553398058252426</v>
      </c>
      <c r="F75" s="63">
        <f t="shared" si="4"/>
        <v>12</v>
      </c>
    </row>
    <row r="76" spans="1:6" x14ac:dyDescent="0.4">
      <c r="A76" s="6" t="s">
        <v>580</v>
      </c>
      <c r="B76" s="7">
        <v>139</v>
      </c>
      <c r="C76" s="6" t="s">
        <v>760</v>
      </c>
      <c r="D76" s="73">
        <v>20</v>
      </c>
      <c r="E76" s="65">
        <f t="shared" si="3"/>
        <v>23.106796116504853</v>
      </c>
      <c r="F76" s="63">
        <f t="shared" si="4"/>
        <v>23</v>
      </c>
    </row>
    <row r="77" spans="1:6" x14ac:dyDescent="0.4">
      <c r="A77" s="6" t="s">
        <v>942</v>
      </c>
      <c r="B77" s="8">
        <v>133</v>
      </c>
      <c r="C77" s="6"/>
      <c r="D77" s="73">
        <v>15</v>
      </c>
      <c r="E77" s="65">
        <f t="shared" si="3"/>
        <v>17.33009708737864</v>
      </c>
      <c r="F77" s="63">
        <f t="shared" si="4"/>
        <v>17</v>
      </c>
    </row>
    <row r="78" spans="1:6" x14ac:dyDescent="0.4">
      <c r="A78" s="9" t="s">
        <v>1009</v>
      </c>
      <c r="B78" s="10">
        <v>95</v>
      </c>
      <c r="C78" s="9"/>
      <c r="D78" s="73">
        <v>45</v>
      </c>
      <c r="E78" s="65">
        <v>45</v>
      </c>
      <c r="F78" s="63">
        <f t="shared" si="4"/>
        <v>45</v>
      </c>
    </row>
    <row r="79" spans="1:6" x14ac:dyDescent="0.4">
      <c r="A79" s="6" t="s">
        <v>476</v>
      </c>
      <c r="B79" s="7">
        <v>113</v>
      </c>
      <c r="C79" s="6"/>
      <c r="D79" s="73">
        <v>5</v>
      </c>
      <c r="E79" s="65">
        <f t="shared" ref="E79:E110" si="5">D79/10.3*G$2</f>
        <v>5.7766990291262132</v>
      </c>
      <c r="F79" s="63">
        <f t="shared" si="4"/>
        <v>6</v>
      </c>
    </row>
    <row r="80" spans="1:6" x14ac:dyDescent="0.4">
      <c r="A80" s="6" t="s">
        <v>471</v>
      </c>
      <c r="B80" s="7">
        <v>113</v>
      </c>
      <c r="C80" s="6"/>
      <c r="D80" s="73">
        <v>5</v>
      </c>
      <c r="E80" s="65">
        <f t="shared" si="5"/>
        <v>5.7766990291262132</v>
      </c>
      <c r="F80" s="63">
        <f t="shared" si="4"/>
        <v>6</v>
      </c>
    </row>
    <row r="81" spans="1:6" x14ac:dyDescent="0.4">
      <c r="A81" s="6" t="s">
        <v>475</v>
      </c>
      <c r="B81" s="7">
        <v>113</v>
      </c>
      <c r="C81" s="6"/>
      <c r="D81" s="73">
        <v>5</v>
      </c>
      <c r="E81" s="65">
        <f t="shared" si="5"/>
        <v>5.7766990291262132</v>
      </c>
      <c r="F81" s="63">
        <f t="shared" si="4"/>
        <v>6</v>
      </c>
    </row>
    <row r="82" spans="1:6" x14ac:dyDescent="0.4">
      <c r="A82" s="6" t="s">
        <v>377</v>
      </c>
      <c r="B82" s="7">
        <v>94</v>
      </c>
      <c r="C82" s="6"/>
      <c r="D82" s="73">
        <v>40</v>
      </c>
      <c r="E82" s="65">
        <f t="shared" si="5"/>
        <v>46.213592233009706</v>
      </c>
      <c r="F82" s="63">
        <f t="shared" si="4"/>
        <v>46</v>
      </c>
    </row>
    <row r="83" spans="1:6" x14ac:dyDescent="0.4">
      <c r="A83" s="6" t="s">
        <v>375</v>
      </c>
      <c r="B83" s="7">
        <v>94</v>
      </c>
      <c r="C83" s="6"/>
      <c r="D83" s="73">
        <v>15</v>
      </c>
      <c r="E83" s="65">
        <f t="shared" si="5"/>
        <v>17.33009708737864</v>
      </c>
      <c r="F83" s="63">
        <f t="shared" si="4"/>
        <v>17</v>
      </c>
    </row>
    <row r="84" spans="1:6" x14ac:dyDescent="0.4">
      <c r="A84" s="6" t="s">
        <v>376</v>
      </c>
      <c r="B84" s="7">
        <v>94</v>
      </c>
      <c r="C84" s="6"/>
      <c r="D84" s="73">
        <v>17</v>
      </c>
      <c r="E84" s="65">
        <f t="shared" si="5"/>
        <v>19.640776699029125</v>
      </c>
      <c r="F84" s="63">
        <f t="shared" si="4"/>
        <v>20</v>
      </c>
    </row>
    <row r="85" spans="1:6" x14ac:dyDescent="0.4">
      <c r="A85" s="6" t="s">
        <v>1006</v>
      </c>
      <c r="B85" s="7">
        <v>28</v>
      </c>
      <c r="C85" s="6"/>
      <c r="D85" s="73">
        <v>10</v>
      </c>
      <c r="E85" s="65">
        <f t="shared" si="5"/>
        <v>11.553398058252426</v>
      </c>
      <c r="F85" s="63">
        <f t="shared" si="4"/>
        <v>12</v>
      </c>
    </row>
    <row r="86" spans="1:6" x14ac:dyDescent="0.4">
      <c r="A86" s="6" t="s">
        <v>1610</v>
      </c>
      <c r="B86" s="7">
        <v>91</v>
      </c>
      <c r="C86" s="6"/>
      <c r="D86" s="73">
        <v>20</v>
      </c>
      <c r="E86" s="65">
        <f t="shared" si="5"/>
        <v>23.106796116504853</v>
      </c>
      <c r="F86" s="63">
        <f t="shared" si="4"/>
        <v>23</v>
      </c>
    </row>
    <row r="87" spans="1:6" x14ac:dyDescent="0.4">
      <c r="A87" s="6" t="s">
        <v>1574</v>
      </c>
      <c r="B87" s="8">
        <v>91</v>
      </c>
      <c r="C87" s="6"/>
      <c r="D87" s="73">
        <v>20</v>
      </c>
      <c r="E87" s="65">
        <f t="shared" si="5"/>
        <v>23.106796116504853</v>
      </c>
      <c r="F87" s="63">
        <f t="shared" si="4"/>
        <v>23</v>
      </c>
    </row>
    <row r="88" spans="1:6" x14ac:dyDescent="0.4">
      <c r="A88" s="6" t="s">
        <v>84</v>
      </c>
      <c r="B88" s="8">
        <v>29</v>
      </c>
      <c r="C88" s="6"/>
      <c r="D88" s="73">
        <v>3</v>
      </c>
      <c r="E88" s="65">
        <f t="shared" si="5"/>
        <v>3.4660194174757279</v>
      </c>
      <c r="F88" s="63">
        <f t="shared" si="4"/>
        <v>3</v>
      </c>
    </row>
    <row r="89" spans="1:6" x14ac:dyDescent="0.4">
      <c r="A89" s="6" t="s">
        <v>98</v>
      </c>
      <c r="B89" s="8">
        <v>31</v>
      </c>
      <c r="C89" s="6" t="s">
        <v>99</v>
      </c>
      <c r="D89" s="73">
        <v>3</v>
      </c>
      <c r="E89" s="65">
        <f t="shared" si="5"/>
        <v>3.4660194174757279</v>
      </c>
      <c r="F89" s="63">
        <f t="shared" si="4"/>
        <v>3</v>
      </c>
    </row>
    <row r="90" spans="1:6" x14ac:dyDescent="0.4">
      <c r="A90" s="6" t="s">
        <v>585</v>
      </c>
      <c r="B90" s="7">
        <v>140</v>
      </c>
      <c r="C90" s="6"/>
      <c r="D90" s="73">
        <v>10</v>
      </c>
      <c r="E90" s="65">
        <f t="shared" si="5"/>
        <v>11.553398058252426</v>
      </c>
      <c r="F90" s="63">
        <f t="shared" si="4"/>
        <v>12</v>
      </c>
    </row>
    <row r="91" spans="1:6" x14ac:dyDescent="0.4">
      <c r="A91" s="6" t="s">
        <v>106</v>
      </c>
      <c r="B91" s="8">
        <v>31</v>
      </c>
      <c r="C91" s="6" t="s">
        <v>112</v>
      </c>
      <c r="D91" s="73">
        <v>3</v>
      </c>
      <c r="E91" s="65">
        <f t="shared" si="5"/>
        <v>3.4660194174757279</v>
      </c>
      <c r="F91" s="63">
        <f t="shared" si="4"/>
        <v>3</v>
      </c>
    </row>
    <row r="92" spans="1:6" x14ac:dyDescent="0.4">
      <c r="A92" s="6" t="s">
        <v>359</v>
      </c>
      <c r="B92" s="8">
        <v>90</v>
      </c>
      <c r="C92" s="6"/>
      <c r="D92" s="73">
        <v>10</v>
      </c>
      <c r="E92" s="65">
        <f t="shared" si="5"/>
        <v>11.553398058252426</v>
      </c>
      <c r="F92" s="63">
        <f t="shared" si="4"/>
        <v>12</v>
      </c>
    </row>
    <row r="93" spans="1:6" x14ac:dyDescent="0.4">
      <c r="A93" s="6" t="s">
        <v>589</v>
      </c>
      <c r="B93" s="7">
        <v>141</v>
      </c>
      <c r="C93" s="6"/>
      <c r="D93" s="73">
        <v>10</v>
      </c>
      <c r="E93" s="65">
        <f t="shared" si="5"/>
        <v>11.553398058252426</v>
      </c>
      <c r="F93" s="63">
        <f t="shared" si="4"/>
        <v>12</v>
      </c>
    </row>
    <row r="94" spans="1:6" x14ac:dyDescent="0.4">
      <c r="A94" s="6" t="s">
        <v>516</v>
      </c>
      <c r="B94" s="7">
        <v>120</v>
      </c>
      <c r="C94" s="6"/>
      <c r="D94" s="73">
        <v>17</v>
      </c>
      <c r="E94" s="65">
        <f t="shared" si="5"/>
        <v>19.640776699029125</v>
      </c>
      <c r="F94" s="63">
        <f t="shared" si="4"/>
        <v>20</v>
      </c>
    </row>
    <row r="95" spans="1:6" x14ac:dyDescent="0.4">
      <c r="A95" s="6" t="s">
        <v>1087</v>
      </c>
      <c r="B95" s="8">
        <v>58</v>
      </c>
      <c r="C95" s="6"/>
      <c r="D95" s="73">
        <v>10</v>
      </c>
      <c r="E95" s="65">
        <f t="shared" si="5"/>
        <v>11.553398058252426</v>
      </c>
      <c r="F95" s="63">
        <f t="shared" si="4"/>
        <v>12</v>
      </c>
    </row>
    <row r="96" spans="1:6" x14ac:dyDescent="0.4">
      <c r="A96" s="6" t="s">
        <v>33</v>
      </c>
      <c r="B96" s="8">
        <v>16</v>
      </c>
      <c r="C96" s="6"/>
      <c r="D96" s="73">
        <v>1</v>
      </c>
      <c r="E96" s="65">
        <f t="shared" si="5"/>
        <v>1.1553398058252426</v>
      </c>
      <c r="F96" s="63">
        <f t="shared" si="4"/>
        <v>1</v>
      </c>
    </row>
    <row r="97" spans="1:6" x14ac:dyDescent="0.4">
      <c r="A97" s="6" t="s">
        <v>32</v>
      </c>
      <c r="B97" s="8">
        <v>16</v>
      </c>
      <c r="C97" s="6"/>
      <c r="D97" s="73">
        <v>1</v>
      </c>
      <c r="E97" s="65">
        <f t="shared" si="5"/>
        <v>1.1553398058252426</v>
      </c>
      <c r="F97" s="63">
        <f t="shared" si="4"/>
        <v>1</v>
      </c>
    </row>
    <row r="98" spans="1:6" x14ac:dyDescent="0.4">
      <c r="A98" s="6" t="s">
        <v>31</v>
      </c>
      <c r="B98" s="8">
        <v>16</v>
      </c>
      <c r="C98" s="6"/>
      <c r="D98" s="73">
        <v>1</v>
      </c>
      <c r="E98" s="65">
        <f t="shared" si="5"/>
        <v>1.1553398058252426</v>
      </c>
      <c r="F98" s="63">
        <f t="shared" si="4"/>
        <v>1</v>
      </c>
    </row>
    <row r="99" spans="1:6" x14ac:dyDescent="0.4">
      <c r="A99" s="6" t="s">
        <v>997</v>
      </c>
      <c r="B99" s="8">
        <v>75</v>
      </c>
      <c r="C99" s="6"/>
      <c r="D99" s="73">
        <v>1</v>
      </c>
      <c r="E99" s="65">
        <f t="shared" si="5"/>
        <v>1.1553398058252426</v>
      </c>
      <c r="F99" s="63">
        <f t="shared" si="4"/>
        <v>1</v>
      </c>
    </row>
    <row r="100" spans="1:6" x14ac:dyDescent="0.4">
      <c r="A100" s="6" t="s">
        <v>247</v>
      </c>
      <c r="B100" s="8">
        <v>59</v>
      </c>
      <c r="C100" s="6"/>
      <c r="D100" s="73">
        <v>1</v>
      </c>
      <c r="E100" s="65">
        <f t="shared" si="5"/>
        <v>1.1553398058252426</v>
      </c>
      <c r="F100" s="63">
        <f t="shared" si="4"/>
        <v>1</v>
      </c>
    </row>
    <row r="101" spans="1:6" x14ac:dyDescent="0.4">
      <c r="A101" s="6" t="s">
        <v>245</v>
      </c>
      <c r="B101" s="8">
        <v>59</v>
      </c>
      <c r="C101" s="6"/>
      <c r="D101" s="73">
        <v>1</v>
      </c>
      <c r="E101" s="65">
        <f t="shared" si="5"/>
        <v>1.1553398058252426</v>
      </c>
      <c r="F101" s="63">
        <f t="shared" si="4"/>
        <v>1</v>
      </c>
    </row>
    <row r="102" spans="1:6" x14ac:dyDescent="0.4">
      <c r="A102" s="6" t="s">
        <v>1141</v>
      </c>
      <c r="B102" s="7">
        <v>75</v>
      </c>
      <c r="C102" s="6"/>
      <c r="D102" s="73">
        <v>1</v>
      </c>
      <c r="E102" s="65">
        <f t="shared" si="5"/>
        <v>1.1553398058252426</v>
      </c>
      <c r="F102" s="63">
        <f t="shared" si="4"/>
        <v>1</v>
      </c>
    </row>
    <row r="103" spans="1:6" x14ac:dyDescent="0.4">
      <c r="A103" s="6" t="s">
        <v>301</v>
      </c>
      <c r="B103" s="8">
        <v>75</v>
      </c>
      <c r="C103" s="6"/>
      <c r="D103" s="73">
        <v>1</v>
      </c>
      <c r="E103" s="65">
        <f t="shared" si="5"/>
        <v>1.1553398058252426</v>
      </c>
      <c r="F103" s="63">
        <f t="shared" si="4"/>
        <v>1</v>
      </c>
    </row>
    <row r="104" spans="1:6" x14ac:dyDescent="0.4">
      <c r="A104" s="6" t="s">
        <v>302</v>
      </c>
      <c r="B104" s="8">
        <v>75</v>
      </c>
      <c r="C104" s="6"/>
      <c r="D104" s="73">
        <v>1</v>
      </c>
      <c r="E104" s="65">
        <f t="shared" si="5"/>
        <v>1.1553398058252426</v>
      </c>
      <c r="F104" s="63">
        <f t="shared" si="4"/>
        <v>1</v>
      </c>
    </row>
    <row r="105" spans="1:6" x14ac:dyDescent="0.4">
      <c r="A105" s="6" t="s">
        <v>303</v>
      </c>
      <c r="B105" s="8">
        <v>75</v>
      </c>
      <c r="C105" s="6"/>
      <c r="D105" s="73">
        <v>1</v>
      </c>
      <c r="E105" s="65">
        <f t="shared" si="5"/>
        <v>1.1553398058252426</v>
      </c>
      <c r="F105" s="63">
        <f t="shared" si="4"/>
        <v>1</v>
      </c>
    </row>
    <row r="106" spans="1:6" x14ac:dyDescent="0.4">
      <c r="A106" s="6" t="s">
        <v>497</v>
      </c>
      <c r="B106" s="7">
        <v>55</v>
      </c>
      <c r="C106" s="6"/>
      <c r="D106" s="73">
        <v>15</v>
      </c>
      <c r="E106" s="65">
        <f t="shared" si="5"/>
        <v>17.33009708737864</v>
      </c>
      <c r="F106" s="63">
        <f t="shared" si="4"/>
        <v>17</v>
      </c>
    </row>
    <row r="107" spans="1:6" x14ac:dyDescent="0.4">
      <c r="A107" s="6" t="s">
        <v>142</v>
      </c>
      <c r="B107" s="8">
        <v>37</v>
      </c>
      <c r="C107" s="6" t="s">
        <v>143</v>
      </c>
      <c r="D107" s="73">
        <v>6.5</v>
      </c>
      <c r="E107" s="65">
        <f t="shared" si="5"/>
        <v>7.5097087378640772</v>
      </c>
      <c r="F107" s="63">
        <f t="shared" si="4"/>
        <v>8</v>
      </c>
    </row>
    <row r="108" spans="1:6" x14ac:dyDescent="0.4">
      <c r="A108" s="6" t="s">
        <v>955</v>
      </c>
      <c r="B108" s="7">
        <v>55</v>
      </c>
      <c r="C108" s="6"/>
      <c r="D108" s="73">
        <v>18</v>
      </c>
      <c r="E108" s="65">
        <f t="shared" si="5"/>
        <v>20.796116504854368</v>
      </c>
      <c r="F108" s="63">
        <f t="shared" si="4"/>
        <v>21</v>
      </c>
    </row>
    <row r="109" spans="1:6" x14ac:dyDescent="0.4">
      <c r="A109" s="6" t="s">
        <v>1656</v>
      </c>
      <c r="B109" s="7">
        <v>55</v>
      </c>
      <c r="C109" s="6"/>
      <c r="D109" s="73">
        <v>10</v>
      </c>
      <c r="E109" s="65">
        <f t="shared" si="5"/>
        <v>11.553398058252426</v>
      </c>
      <c r="F109" s="63">
        <f t="shared" si="4"/>
        <v>12</v>
      </c>
    </row>
    <row r="110" spans="1:6" x14ac:dyDescent="0.4">
      <c r="A110" s="6" t="s">
        <v>108</v>
      </c>
      <c r="B110" s="8">
        <v>31</v>
      </c>
      <c r="C110" s="6" t="s">
        <v>113</v>
      </c>
      <c r="D110" s="73">
        <v>3</v>
      </c>
      <c r="E110" s="65">
        <f t="shared" si="5"/>
        <v>3.4660194174757279</v>
      </c>
      <c r="F110" s="63">
        <f t="shared" si="4"/>
        <v>3</v>
      </c>
    </row>
    <row r="111" spans="1:6" x14ac:dyDescent="0.4">
      <c r="A111" s="6" t="s">
        <v>107</v>
      </c>
      <c r="B111" s="8">
        <v>31</v>
      </c>
      <c r="C111" s="6" t="s">
        <v>114</v>
      </c>
      <c r="D111" s="73">
        <v>3</v>
      </c>
      <c r="E111" s="65">
        <f t="shared" ref="E111:E142" si="6">D111/10.3*G$2</f>
        <v>3.4660194174757279</v>
      </c>
      <c r="F111" s="63">
        <f t="shared" si="4"/>
        <v>3</v>
      </c>
    </row>
    <row r="112" spans="1:6" x14ac:dyDescent="0.4">
      <c r="A112" s="6" t="s">
        <v>104</v>
      </c>
      <c r="B112" s="8">
        <v>31</v>
      </c>
      <c r="C112" s="6" t="s">
        <v>109</v>
      </c>
      <c r="D112" s="73">
        <v>3</v>
      </c>
      <c r="E112" s="65">
        <f t="shared" si="6"/>
        <v>3.4660194174757279</v>
      </c>
      <c r="F112" s="63">
        <f t="shared" si="4"/>
        <v>3</v>
      </c>
    </row>
    <row r="113" spans="1:6" x14ac:dyDescent="0.4">
      <c r="A113" s="6" t="s">
        <v>100</v>
      </c>
      <c r="B113" s="8">
        <v>31</v>
      </c>
      <c r="C113" s="6" t="s">
        <v>101</v>
      </c>
      <c r="D113" s="73">
        <v>3</v>
      </c>
      <c r="E113" s="65">
        <f t="shared" si="6"/>
        <v>3.4660194174757279</v>
      </c>
      <c r="F113" s="63">
        <f t="shared" si="4"/>
        <v>3</v>
      </c>
    </row>
    <row r="114" spans="1:6" x14ac:dyDescent="0.4">
      <c r="A114" s="6" t="s">
        <v>102</v>
      </c>
      <c r="B114" s="8">
        <v>31</v>
      </c>
      <c r="C114" s="6" t="s">
        <v>103</v>
      </c>
      <c r="D114" s="73">
        <v>3</v>
      </c>
      <c r="E114" s="65">
        <f t="shared" si="6"/>
        <v>3.4660194174757279</v>
      </c>
      <c r="F114" s="63">
        <f t="shared" si="4"/>
        <v>3</v>
      </c>
    </row>
    <row r="115" spans="1:6" x14ac:dyDescent="0.4">
      <c r="A115" s="6" t="s">
        <v>1026</v>
      </c>
      <c r="B115" s="8">
        <v>82</v>
      </c>
      <c r="C115" s="6" t="s">
        <v>1027</v>
      </c>
      <c r="D115" s="73">
        <v>5</v>
      </c>
      <c r="E115" s="65">
        <f t="shared" si="6"/>
        <v>5.7766990291262132</v>
      </c>
      <c r="F115" s="63">
        <f t="shared" si="4"/>
        <v>6</v>
      </c>
    </row>
    <row r="116" spans="1:6" x14ac:dyDescent="0.4">
      <c r="A116" s="6" t="s">
        <v>1026</v>
      </c>
      <c r="B116" s="7">
        <v>82</v>
      </c>
      <c r="C116" s="6"/>
      <c r="D116" s="73">
        <v>5</v>
      </c>
      <c r="E116" s="65">
        <f t="shared" si="6"/>
        <v>5.7766990291262132</v>
      </c>
      <c r="F116" s="63">
        <f t="shared" si="4"/>
        <v>6</v>
      </c>
    </row>
    <row r="117" spans="1:6" x14ac:dyDescent="0.4">
      <c r="A117" s="6" t="s">
        <v>1024</v>
      </c>
      <c r="B117" s="8">
        <v>82</v>
      </c>
      <c r="C117" s="6" t="s">
        <v>1025</v>
      </c>
      <c r="D117" s="73">
        <v>5</v>
      </c>
      <c r="E117" s="65">
        <f t="shared" si="6"/>
        <v>5.7766990291262132</v>
      </c>
      <c r="F117" s="63">
        <f t="shared" si="4"/>
        <v>6</v>
      </c>
    </row>
    <row r="118" spans="1:6" x14ac:dyDescent="0.4">
      <c r="A118" s="6" t="s">
        <v>1024</v>
      </c>
      <c r="B118" s="7">
        <v>82</v>
      </c>
      <c r="C118" s="6"/>
      <c r="D118" s="73">
        <v>5</v>
      </c>
      <c r="E118" s="65">
        <f t="shared" si="6"/>
        <v>5.7766990291262132</v>
      </c>
      <c r="F118" s="63">
        <f t="shared" si="4"/>
        <v>6</v>
      </c>
    </row>
    <row r="119" spans="1:6" x14ac:dyDescent="0.4">
      <c r="A119" s="6" t="s">
        <v>91</v>
      </c>
      <c r="B119" s="8">
        <v>30</v>
      </c>
      <c r="C119" s="6"/>
      <c r="D119" s="73">
        <v>7</v>
      </c>
      <c r="E119" s="65">
        <f t="shared" si="6"/>
        <v>8.0873786407766985</v>
      </c>
      <c r="F119" s="63">
        <f t="shared" si="4"/>
        <v>8</v>
      </c>
    </row>
    <row r="120" spans="1:6" x14ac:dyDescent="0.4">
      <c r="A120" s="6" t="s">
        <v>601</v>
      </c>
      <c r="B120" s="7">
        <v>143</v>
      </c>
      <c r="C120" s="6"/>
      <c r="D120" s="73">
        <v>8</v>
      </c>
      <c r="E120" s="65">
        <f t="shared" si="6"/>
        <v>9.2427184466019412</v>
      </c>
      <c r="F120" s="63">
        <f t="shared" si="4"/>
        <v>9</v>
      </c>
    </row>
    <row r="121" spans="1:6" x14ac:dyDescent="0.4">
      <c r="A121" s="6" t="s">
        <v>602</v>
      </c>
      <c r="B121" s="7">
        <v>143</v>
      </c>
      <c r="C121" s="6"/>
      <c r="D121" s="73">
        <v>8</v>
      </c>
      <c r="E121" s="65">
        <f t="shared" si="6"/>
        <v>9.2427184466019412</v>
      </c>
      <c r="F121" s="63">
        <f t="shared" si="4"/>
        <v>9</v>
      </c>
    </row>
    <row r="122" spans="1:6" x14ac:dyDescent="0.4">
      <c r="A122" s="6" t="s">
        <v>981</v>
      </c>
      <c r="B122" s="8">
        <v>65</v>
      </c>
      <c r="C122" s="6" t="s">
        <v>983</v>
      </c>
      <c r="D122" s="73">
        <v>8</v>
      </c>
      <c r="E122" s="65">
        <f t="shared" si="6"/>
        <v>9.2427184466019412</v>
      </c>
      <c r="F122" s="63">
        <f t="shared" si="4"/>
        <v>9</v>
      </c>
    </row>
    <row r="123" spans="1:6" x14ac:dyDescent="0.4">
      <c r="A123" s="6" t="s">
        <v>982</v>
      </c>
      <c r="B123" s="8">
        <v>65</v>
      </c>
      <c r="C123" s="6" t="s">
        <v>984</v>
      </c>
      <c r="D123" s="73">
        <v>8</v>
      </c>
      <c r="E123" s="65">
        <f t="shared" si="6"/>
        <v>9.2427184466019412</v>
      </c>
      <c r="F123" s="63">
        <f t="shared" si="4"/>
        <v>9</v>
      </c>
    </row>
    <row r="124" spans="1:6" x14ac:dyDescent="0.4">
      <c r="A124" s="6" t="s">
        <v>34</v>
      </c>
      <c r="B124" s="8">
        <v>16</v>
      </c>
      <c r="C124" s="6"/>
      <c r="D124" s="73">
        <v>3</v>
      </c>
      <c r="E124" s="65">
        <f t="shared" si="6"/>
        <v>3.4660194174757279</v>
      </c>
      <c r="F124" s="63">
        <f t="shared" si="4"/>
        <v>3</v>
      </c>
    </row>
    <row r="125" spans="1:6" x14ac:dyDescent="0.4">
      <c r="A125" s="6" t="s">
        <v>1020</v>
      </c>
      <c r="B125" s="8">
        <v>16</v>
      </c>
      <c r="C125" s="6"/>
      <c r="D125" s="73">
        <v>3</v>
      </c>
      <c r="E125" s="65">
        <f t="shared" si="6"/>
        <v>3.4660194174757279</v>
      </c>
      <c r="F125" s="63">
        <f t="shared" si="4"/>
        <v>3</v>
      </c>
    </row>
    <row r="126" spans="1:6" x14ac:dyDescent="0.4">
      <c r="A126" s="6" t="s">
        <v>36</v>
      </c>
      <c r="B126" s="8">
        <v>16</v>
      </c>
      <c r="C126" s="6"/>
      <c r="D126" s="73">
        <v>3</v>
      </c>
      <c r="E126" s="65">
        <f t="shared" si="6"/>
        <v>3.4660194174757279</v>
      </c>
      <c r="F126" s="63">
        <f t="shared" si="4"/>
        <v>3</v>
      </c>
    </row>
    <row r="127" spans="1:6" x14ac:dyDescent="0.4">
      <c r="A127" s="6" t="s">
        <v>37</v>
      </c>
      <c r="B127" s="8">
        <v>16</v>
      </c>
      <c r="C127" s="6"/>
      <c r="D127" s="73">
        <v>3</v>
      </c>
      <c r="E127" s="65">
        <f t="shared" si="6"/>
        <v>3.4660194174757279</v>
      </c>
      <c r="F127" s="63">
        <f t="shared" si="4"/>
        <v>3</v>
      </c>
    </row>
    <row r="128" spans="1:6" x14ac:dyDescent="0.4">
      <c r="A128" s="6" t="s">
        <v>35</v>
      </c>
      <c r="B128" s="8">
        <v>16</v>
      </c>
      <c r="C128" s="6"/>
      <c r="D128" s="73">
        <v>3</v>
      </c>
      <c r="E128" s="65">
        <f t="shared" si="6"/>
        <v>3.4660194174757279</v>
      </c>
      <c r="F128" s="63">
        <f t="shared" si="4"/>
        <v>3</v>
      </c>
    </row>
    <row r="129" spans="1:6" x14ac:dyDescent="0.4">
      <c r="A129" s="6" t="s">
        <v>610</v>
      </c>
      <c r="B129" s="8">
        <v>2</v>
      </c>
      <c r="C129" s="6"/>
      <c r="D129" s="73">
        <v>3</v>
      </c>
      <c r="E129" s="65">
        <f t="shared" si="6"/>
        <v>3.4660194174757279</v>
      </c>
      <c r="F129" s="63">
        <f t="shared" si="4"/>
        <v>3</v>
      </c>
    </row>
    <row r="130" spans="1:6" x14ac:dyDescent="0.4">
      <c r="A130" s="6" t="s">
        <v>611</v>
      </c>
      <c r="B130" s="8">
        <v>2</v>
      </c>
      <c r="C130" s="6"/>
      <c r="D130" s="73">
        <v>3</v>
      </c>
      <c r="E130" s="65">
        <f t="shared" si="6"/>
        <v>3.4660194174757279</v>
      </c>
      <c r="F130" s="63">
        <f t="shared" ref="F130:F193" si="7">ROUND(E130,0)</f>
        <v>3</v>
      </c>
    </row>
    <row r="131" spans="1:6" x14ac:dyDescent="0.4">
      <c r="A131" s="6" t="s">
        <v>612</v>
      </c>
      <c r="B131" s="8">
        <v>2</v>
      </c>
      <c r="C131" s="6"/>
      <c r="D131" s="73">
        <v>3</v>
      </c>
      <c r="E131" s="65">
        <f t="shared" si="6"/>
        <v>3.4660194174757279</v>
      </c>
      <c r="F131" s="63">
        <f t="shared" si="7"/>
        <v>3</v>
      </c>
    </row>
    <row r="132" spans="1:6" x14ac:dyDescent="0.4">
      <c r="A132" s="6" t="s">
        <v>1130</v>
      </c>
      <c r="B132" s="7">
        <v>90</v>
      </c>
      <c r="C132" s="6"/>
      <c r="D132" s="73">
        <v>15</v>
      </c>
      <c r="E132" s="65">
        <f t="shared" si="6"/>
        <v>17.33009708737864</v>
      </c>
      <c r="F132" s="63">
        <f t="shared" si="7"/>
        <v>17</v>
      </c>
    </row>
    <row r="133" spans="1:6" x14ac:dyDescent="0.4">
      <c r="A133" s="6" t="s">
        <v>288</v>
      </c>
      <c r="B133" s="8">
        <v>72</v>
      </c>
      <c r="C133" s="6"/>
      <c r="D133" s="73">
        <v>10</v>
      </c>
      <c r="E133" s="65">
        <f t="shared" si="6"/>
        <v>11.553398058252426</v>
      </c>
      <c r="F133" s="63">
        <f t="shared" si="7"/>
        <v>12</v>
      </c>
    </row>
    <row r="134" spans="1:6" x14ac:dyDescent="0.4">
      <c r="A134" s="6" t="s">
        <v>281</v>
      </c>
      <c r="B134" s="8">
        <v>71</v>
      </c>
      <c r="C134" s="6"/>
      <c r="D134" s="73">
        <v>10</v>
      </c>
      <c r="E134" s="65">
        <f t="shared" si="6"/>
        <v>11.553398058252426</v>
      </c>
      <c r="F134" s="63">
        <f t="shared" si="7"/>
        <v>12</v>
      </c>
    </row>
    <row r="135" spans="1:6" x14ac:dyDescent="0.4">
      <c r="A135" s="6" t="s">
        <v>72</v>
      </c>
      <c r="B135" s="8">
        <v>25</v>
      </c>
      <c r="C135" s="6"/>
      <c r="D135" s="73">
        <v>10</v>
      </c>
      <c r="E135" s="65">
        <f t="shared" si="6"/>
        <v>11.553398058252426</v>
      </c>
      <c r="F135" s="63">
        <f t="shared" si="7"/>
        <v>12</v>
      </c>
    </row>
    <row r="136" spans="1:6" x14ac:dyDescent="0.4">
      <c r="A136" s="6" t="s">
        <v>85</v>
      </c>
      <c r="B136" s="8">
        <v>29</v>
      </c>
      <c r="C136" s="6"/>
      <c r="D136" s="73">
        <v>3</v>
      </c>
      <c r="E136" s="65">
        <f t="shared" si="6"/>
        <v>3.4660194174757279</v>
      </c>
      <c r="F136" s="63">
        <f t="shared" si="7"/>
        <v>3</v>
      </c>
    </row>
    <row r="137" spans="1:6" x14ac:dyDescent="0.4">
      <c r="A137" s="6" t="s">
        <v>299</v>
      </c>
      <c r="B137" s="8">
        <v>74</v>
      </c>
      <c r="C137" s="6"/>
      <c r="D137" s="73">
        <v>1</v>
      </c>
      <c r="E137" s="65">
        <f t="shared" si="6"/>
        <v>1.1553398058252426</v>
      </c>
      <c r="F137" s="63">
        <f t="shared" si="7"/>
        <v>1</v>
      </c>
    </row>
    <row r="138" spans="1:6" x14ac:dyDescent="0.4">
      <c r="A138" s="6" t="s">
        <v>18</v>
      </c>
      <c r="B138" s="8">
        <v>13</v>
      </c>
      <c r="C138" s="6"/>
      <c r="D138" s="73">
        <v>5</v>
      </c>
      <c r="E138" s="65">
        <f t="shared" si="6"/>
        <v>5.7766990291262132</v>
      </c>
      <c r="F138" s="63">
        <f t="shared" si="7"/>
        <v>6</v>
      </c>
    </row>
    <row r="139" spans="1:6" x14ac:dyDescent="0.4">
      <c r="A139" s="6" t="s">
        <v>1028</v>
      </c>
      <c r="B139" s="8">
        <v>82</v>
      </c>
      <c r="C139" s="6" t="s">
        <v>1029</v>
      </c>
      <c r="D139" s="73">
        <v>5</v>
      </c>
      <c r="E139" s="65">
        <f t="shared" si="6"/>
        <v>5.7766990291262132</v>
      </c>
      <c r="F139" s="63">
        <f t="shared" si="7"/>
        <v>6</v>
      </c>
    </row>
    <row r="140" spans="1:6" x14ac:dyDescent="0.4">
      <c r="A140" s="6" t="s">
        <v>1028</v>
      </c>
      <c r="B140" s="7">
        <v>82</v>
      </c>
      <c r="C140" s="6"/>
      <c r="D140" s="73">
        <v>5</v>
      </c>
      <c r="E140" s="65">
        <f t="shared" si="6"/>
        <v>5.7766990291262132</v>
      </c>
      <c r="F140" s="63">
        <f t="shared" si="7"/>
        <v>6</v>
      </c>
    </row>
    <row r="141" spans="1:6" x14ac:dyDescent="0.4">
      <c r="A141" s="6" t="s">
        <v>87</v>
      </c>
      <c r="B141" s="8">
        <v>29</v>
      </c>
      <c r="C141" s="6"/>
      <c r="D141" s="73">
        <v>3</v>
      </c>
      <c r="E141" s="65">
        <f t="shared" si="6"/>
        <v>3.4660194174757279</v>
      </c>
      <c r="F141" s="63">
        <f t="shared" si="7"/>
        <v>3</v>
      </c>
    </row>
    <row r="142" spans="1:6" x14ac:dyDescent="0.4">
      <c r="A142" s="6" t="s">
        <v>82</v>
      </c>
      <c r="B142" s="8">
        <v>29</v>
      </c>
      <c r="C142" s="6"/>
      <c r="D142" s="73">
        <v>3</v>
      </c>
      <c r="E142" s="65">
        <f t="shared" si="6"/>
        <v>3.4660194174757279</v>
      </c>
      <c r="F142" s="63">
        <f t="shared" si="7"/>
        <v>3</v>
      </c>
    </row>
    <row r="143" spans="1:6" x14ac:dyDescent="0.4">
      <c r="A143" s="6" t="s">
        <v>86</v>
      </c>
      <c r="B143" s="8">
        <v>29</v>
      </c>
      <c r="C143" s="6"/>
      <c r="D143" s="73">
        <v>3</v>
      </c>
      <c r="E143" s="65">
        <f t="shared" ref="E143:E174" si="8">D143/10.3*G$2</f>
        <v>3.4660194174757279</v>
      </c>
      <c r="F143" s="63">
        <f t="shared" si="7"/>
        <v>3</v>
      </c>
    </row>
    <row r="144" spans="1:6" x14ac:dyDescent="0.4">
      <c r="A144" s="6" t="s">
        <v>88</v>
      </c>
      <c r="B144" s="8">
        <v>29</v>
      </c>
      <c r="C144" s="6"/>
      <c r="D144" s="73">
        <v>3</v>
      </c>
      <c r="E144" s="65">
        <f t="shared" si="8"/>
        <v>3.4660194174757279</v>
      </c>
      <c r="F144" s="63">
        <f t="shared" si="7"/>
        <v>3</v>
      </c>
    </row>
    <row r="145" spans="1:6" x14ac:dyDescent="0.4">
      <c r="A145" s="6" t="s">
        <v>1112</v>
      </c>
      <c r="B145" s="7">
        <v>57</v>
      </c>
      <c r="C145" s="6"/>
      <c r="D145" s="73">
        <v>3</v>
      </c>
      <c r="E145" s="65">
        <f t="shared" si="8"/>
        <v>3.4660194174757279</v>
      </c>
      <c r="F145" s="63">
        <f t="shared" si="7"/>
        <v>3</v>
      </c>
    </row>
    <row r="146" spans="1:6" x14ac:dyDescent="0.4">
      <c r="A146" s="6" t="s">
        <v>1109</v>
      </c>
      <c r="B146" s="7">
        <v>74</v>
      </c>
      <c r="C146" s="6"/>
      <c r="D146" s="73">
        <v>1</v>
      </c>
      <c r="E146" s="65">
        <f t="shared" si="8"/>
        <v>1.1553398058252426</v>
      </c>
      <c r="F146" s="63">
        <f t="shared" si="7"/>
        <v>1</v>
      </c>
    </row>
    <row r="147" spans="1:6" x14ac:dyDescent="0.4">
      <c r="A147" s="6" t="s">
        <v>444</v>
      </c>
      <c r="B147" s="7">
        <v>108</v>
      </c>
      <c r="C147" s="6"/>
      <c r="D147" s="73">
        <v>15</v>
      </c>
      <c r="E147" s="65">
        <f t="shared" si="8"/>
        <v>17.33009708737864</v>
      </c>
      <c r="F147" s="63">
        <f t="shared" si="7"/>
        <v>17</v>
      </c>
    </row>
    <row r="148" spans="1:6" x14ac:dyDescent="0.4">
      <c r="A148" s="6" t="s">
        <v>289</v>
      </c>
      <c r="B148" s="8">
        <v>72</v>
      </c>
      <c r="C148" s="6"/>
      <c r="D148" s="73">
        <v>20</v>
      </c>
      <c r="E148" s="65">
        <f t="shared" si="8"/>
        <v>23.106796116504853</v>
      </c>
      <c r="F148" s="63">
        <f t="shared" si="7"/>
        <v>23</v>
      </c>
    </row>
    <row r="149" spans="1:6" x14ac:dyDescent="0.4">
      <c r="A149" s="6" t="s">
        <v>533</v>
      </c>
      <c r="B149" s="7">
        <v>127</v>
      </c>
      <c r="C149" s="6" t="s">
        <v>531</v>
      </c>
      <c r="D149" s="73">
        <v>10</v>
      </c>
      <c r="E149" s="65">
        <f t="shared" si="8"/>
        <v>11.553398058252426</v>
      </c>
      <c r="F149" s="63">
        <f t="shared" si="7"/>
        <v>12</v>
      </c>
    </row>
    <row r="150" spans="1:6" x14ac:dyDescent="0.4">
      <c r="A150" s="6" t="s">
        <v>530</v>
      </c>
      <c r="B150" s="7">
        <v>127</v>
      </c>
      <c r="C150" s="6" t="s">
        <v>531</v>
      </c>
      <c r="D150" s="73">
        <v>15</v>
      </c>
      <c r="E150" s="65">
        <f t="shared" si="8"/>
        <v>17.33009708737864</v>
      </c>
      <c r="F150" s="63">
        <f t="shared" si="7"/>
        <v>17</v>
      </c>
    </row>
    <row r="151" spans="1:6" x14ac:dyDescent="0.4">
      <c r="A151" s="9" t="s">
        <v>584</v>
      </c>
      <c r="B151" s="10">
        <v>140</v>
      </c>
      <c r="C151" s="9"/>
      <c r="D151" s="73">
        <v>10</v>
      </c>
      <c r="E151" s="65">
        <f t="shared" si="8"/>
        <v>11.553398058252426</v>
      </c>
      <c r="F151" s="63">
        <f t="shared" si="7"/>
        <v>12</v>
      </c>
    </row>
    <row r="152" spans="1:6" x14ac:dyDescent="0.4">
      <c r="A152" s="6" t="s">
        <v>306</v>
      </c>
      <c r="B152" s="8">
        <v>76</v>
      </c>
      <c r="C152" s="6"/>
      <c r="D152" s="73">
        <v>17</v>
      </c>
      <c r="E152" s="65">
        <f t="shared" si="8"/>
        <v>19.640776699029125</v>
      </c>
      <c r="F152" s="63">
        <f t="shared" si="7"/>
        <v>20</v>
      </c>
    </row>
    <row r="153" spans="1:6" x14ac:dyDescent="0.4">
      <c r="A153" s="6" t="s">
        <v>181</v>
      </c>
      <c r="B153" s="8">
        <v>43</v>
      </c>
      <c r="C153" s="6"/>
      <c r="D153" s="73">
        <v>10</v>
      </c>
      <c r="E153" s="65">
        <f t="shared" si="8"/>
        <v>11.553398058252426</v>
      </c>
      <c r="F153" s="63">
        <f t="shared" si="7"/>
        <v>12</v>
      </c>
    </row>
    <row r="154" spans="1:6" x14ac:dyDescent="0.4">
      <c r="A154" s="6" t="s">
        <v>560</v>
      </c>
      <c r="B154" s="7">
        <v>135</v>
      </c>
      <c r="C154" s="6"/>
      <c r="D154" s="73">
        <v>10</v>
      </c>
      <c r="E154" s="65">
        <f t="shared" si="8"/>
        <v>11.553398058252426</v>
      </c>
      <c r="F154" s="63">
        <f t="shared" si="7"/>
        <v>12</v>
      </c>
    </row>
    <row r="155" spans="1:6" x14ac:dyDescent="0.4">
      <c r="A155" s="6" t="s">
        <v>561</v>
      </c>
      <c r="B155" s="7">
        <v>135</v>
      </c>
      <c r="C155" s="6"/>
      <c r="D155" s="73">
        <v>10</v>
      </c>
      <c r="E155" s="65">
        <f t="shared" si="8"/>
        <v>11.553398058252426</v>
      </c>
      <c r="F155" s="63">
        <f t="shared" si="7"/>
        <v>12</v>
      </c>
    </row>
    <row r="156" spans="1:6" x14ac:dyDescent="0.4">
      <c r="A156" s="6" t="s">
        <v>562</v>
      </c>
      <c r="B156" s="7">
        <v>135</v>
      </c>
      <c r="C156" s="6"/>
      <c r="D156" s="73">
        <v>10</v>
      </c>
      <c r="E156" s="65">
        <f t="shared" si="8"/>
        <v>11.553398058252426</v>
      </c>
      <c r="F156" s="63">
        <f t="shared" si="7"/>
        <v>12</v>
      </c>
    </row>
    <row r="157" spans="1:6" x14ac:dyDescent="0.4">
      <c r="A157" s="9" t="s">
        <v>579</v>
      </c>
      <c r="B157" s="10">
        <v>139</v>
      </c>
      <c r="C157" s="9"/>
      <c r="D157" s="73">
        <v>7</v>
      </c>
      <c r="E157" s="65">
        <f t="shared" si="8"/>
        <v>8.0873786407766985</v>
      </c>
      <c r="F157" s="63">
        <f t="shared" si="7"/>
        <v>8</v>
      </c>
    </row>
    <row r="158" spans="1:6" x14ac:dyDescent="0.4">
      <c r="A158" s="6" t="s">
        <v>297</v>
      </c>
      <c r="B158" s="8">
        <v>74</v>
      </c>
      <c r="C158" s="6"/>
      <c r="D158" s="73">
        <v>1</v>
      </c>
      <c r="E158" s="65">
        <f t="shared" si="8"/>
        <v>1.1553398058252426</v>
      </c>
      <c r="F158" s="63">
        <f t="shared" si="7"/>
        <v>1</v>
      </c>
    </row>
    <row r="159" spans="1:6" x14ac:dyDescent="0.4">
      <c r="A159" s="6" t="s">
        <v>450</v>
      </c>
      <c r="B159" s="7">
        <v>109</v>
      </c>
      <c r="C159" s="6"/>
      <c r="D159" s="73">
        <v>10</v>
      </c>
      <c r="E159" s="65">
        <f t="shared" si="8"/>
        <v>11.553398058252426</v>
      </c>
      <c r="F159" s="63">
        <f t="shared" si="7"/>
        <v>12</v>
      </c>
    </row>
    <row r="160" spans="1:6" x14ac:dyDescent="0.4">
      <c r="A160" s="6" t="s">
        <v>581</v>
      </c>
      <c r="B160" s="7">
        <v>139</v>
      </c>
      <c r="C160" s="6"/>
      <c r="D160" s="73">
        <v>70</v>
      </c>
      <c r="E160" s="65">
        <f t="shared" si="8"/>
        <v>80.873786407766985</v>
      </c>
      <c r="F160" s="63">
        <f t="shared" si="7"/>
        <v>81</v>
      </c>
    </row>
    <row r="161" spans="1:6" x14ac:dyDescent="0.4">
      <c r="A161" s="6" t="s">
        <v>582</v>
      </c>
      <c r="B161" s="7">
        <v>139</v>
      </c>
      <c r="C161" s="6"/>
      <c r="D161" s="73">
        <v>80</v>
      </c>
      <c r="E161" s="65">
        <f t="shared" si="8"/>
        <v>92.427184466019412</v>
      </c>
      <c r="F161" s="63">
        <f t="shared" si="7"/>
        <v>92</v>
      </c>
    </row>
    <row r="162" spans="1:6" x14ac:dyDescent="0.4">
      <c r="A162" s="6" t="s">
        <v>15</v>
      </c>
      <c r="B162" s="8">
        <v>12</v>
      </c>
      <c r="C162" s="6" t="s">
        <v>16</v>
      </c>
      <c r="D162" s="73">
        <v>5</v>
      </c>
      <c r="E162" s="65">
        <f t="shared" si="8"/>
        <v>5.7766990291262132</v>
      </c>
      <c r="F162" s="63">
        <v>8</v>
      </c>
    </row>
    <row r="163" spans="1:6" x14ac:dyDescent="0.4">
      <c r="A163" s="6" t="s">
        <v>952</v>
      </c>
      <c r="B163" s="7">
        <v>119</v>
      </c>
      <c r="C163" s="6"/>
      <c r="D163" s="73">
        <v>20</v>
      </c>
      <c r="E163" s="65">
        <f t="shared" si="8"/>
        <v>23.106796116504853</v>
      </c>
      <c r="F163" s="63">
        <f t="shared" si="7"/>
        <v>23</v>
      </c>
    </row>
    <row r="164" spans="1:6" x14ac:dyDescent="0.4">
      <c r="A164" s="6" t="s">
        <v>182</v>
      </c>
      <c r="B164" s="8">
        <v>44</v>
      </c>
      <c r="C164" s="6"/>
      <c r="D164" s="73">
        <v>5</v>
      </c>
      <c r="E164" s="65">
        <f t="shared" si="8"/>
        <v>5.7766990291262132</v>
      </c>
      <c r="F164" s="63">
        <f t="shared" si="7"/>
        <v>6</v>
      </c>
    </row>
    <row r="165" spans="1:6" x14ac:dyDescent="0.4">
      <c r="A165" s="6" t="s">
        <v>216</v>
      </c>
      <c r="B165" s="8">
        <v>48</v>
      </c>
      <c r="C165" s="6" t="s">
        <v>194</v>
      </c>
      <c r="D165" s="73">
        <v>5</v>
      </c>
      <c r="E165" s="65">
        <f t="shared" si="8"/>
        <v>5.7766990291262132</v>
      </c>
      <c r="F165" s="63">
        <f t="shared" si="7"/>
        <v>6</v>
      </c>
    </row>
    <row r="166" spans="1:6" x14ac:dyDescent="0.4">
      <c r="A166" s="6" t="s">
        <v>183</v>
      </c>
      <c r="B166" s="8">
        <v>44</v>
      </c>
      <c r="C166" s="6"/>
      <c r="D166" s="73">
        <v>7</v>
      </c>
      <c r="E166" s="65">
        <f t="shared" si="8"/>
        <v>8.0873786407766985</v>
      </c>
      <c r="F166" s="63">
        <f t="shared" si="7"/>
        <v>8</v>
      </c>
    </row>
    <row r="167" spans="1:6" x14ac:dyDescent="0.4">
      <c r="A167" s="6" t="s">
        <v>184</v>
      </c>
      <c r="B167" s="8">
        <v>44</v>
      </c>
      <c r="C167" s="6"/>
      <c r="D167" s="73">
        <v>8</v>
      </c>
      <c r="E167" s="65">
        <f t="shared" si="8"/>
        <v>9.2427184466019412</v>
      </c>
      <c r="F167" s="63">
        <f t="shared" si="7"/>
        <v>9</v>
      </c>
    </row>
    <row r="168" spans="1:6" x14ac:dyDescent="0.4">
      <c r="A168" s="6" t="s">
        <v>185</v>
      </c>
      <c r="B168" s="8">
        <v>44</v>
      </c>
      <c r="C168" s="6"/>
      <c r="D168" s="73">
        <v>5</v>
      </c>
      <c r="E168" s="65">
        <f t="shared" si="8"/>
        <v>5.7766990291262132</v>
      </c>
      <c r="F168" s="63">
        <f t="shared" si="7"/>
        <v>6</v>
      </c>
    </row>
    <row r="169" spans="1:6" x14ac:dyDescent="0.4">
      <c r="A169" s="6" t="s">
        <v>186</v>
      </c>
      <c r="B169" s="8">
        <v>44</v>
      </c>
      <c r="C169" s="6"/>
      <c r="D169" s="73">
        <v>5</v>
      </c>
      <c r="E169" s="65">
        <f t="shared" si="8"/>
        <v>5.7766990291262132</v>
      </c>
      <c r="F169" s="63">
        <f t="shared" si="7"/>
        <v>6</v>
      </c>
    </row>
    <row r="170" spans="1:6" x14ac:dyDescent="0.4">
      <c r="A170" s="6" t="s">
        <v>187</v>
      </c>
      <c r="B170" s="8">
        <v>45</v>
      </c>
      <c r="C170" s="6"/>
      <c r="D170" s="73">
        <v>5</v>
      </c>
      <c r="E170" s="65">
        <f t="shared" si="8"/>
        <v>5.7766990291262132</v>
      </c>
      <c r="F170" s="63">
        <f t="shared" si="7"/>
        <v>6</v>
      </c>
    </row>
    <row r="171" spans="1:6" x14ac:dyDescent="0.4">
      <c r="A171" s="6" t="s">
        <v>188</v>
      </c>
      <c r="B171" s="8">
        <v>45</v>
      </c>
      <c r="C171" s="6"/>
      <c r="D171" s="73">
        <v>5</v>
      </c>
      <c r="E171" s="65">
        <f t="shared" si="8"/>
        <v>5.7766990291262132</v>
      </c>
      <c r="F171" s="63">
        <f t="shared" si="7"/>
        <v>6</v>
      </c>
    </row>
    <row r="172" spans="1:6" x14ac:dyDescent="0.4">
      <c r="A172" s="6" t="s">
        <v>189</v>
      </c>
      <c r="B172" s="8">
        <v>45</v>
      </c>
      <c r="C172" s="6"/>
      <c r="D172" s="73">
        <v>5</v>
      </c>
      <c r="E172" s="65">
        <f t="shared" si="8"/>
        <v>5.7766990291262132</v>
      </c>
      <c r="F172" s="63">
        <f t="shared" si="7"/>
        <v>6</v>
      </c>
    </row>
    <row r="173" spans="1:6" x14ac:dyDescent="0.4">
      <c r="A173" s="6" t="s">
        <v>190</v>
      </c>
      <c r="B173" s="8">
        <v>45</v>
      </c>
      <c r="C173" s="6"/>
      <c r="D173" s="73">
        <v>5</v>
      </c>
      <c r="E173" s="65">
        <f t="shared" si="8"/>
        <v>5.7766990291262132</v>
      </c>
      <c r="F173" s="63">
        <f t="shared" si="7"/>
        <v>6</v>
      </c>
    </row>
    <row r="174" spans="1:6" x14ac:dyDescent="0.4">
      <c r="A174" s="9" t="s">
        <v>191</v>
      </c>
      <c r="B174" s="10">
        <v>45</v>
      </c>
      <c r="C174" s="9"/>
      <c r="D174" s="73">
        <v>5</v>
      </c>
      <c r="E174" s="65">
        <f t="shared" si="8"/>
        <v>5.7766990291262132</v>
      </c>
      <c r="F174" s="63">
        <f t="shared" si="7"/>
        <v>6</v>
      </c>
    </row>
    <row r="175" spans="1:6" x14ac:dyDescent="0.4">
      <c r="A175" s="6" t="s">
        <v>193</v>
      </c>
      <c r="B175" s="8">
        <v>45</v>
      </c>
      <c r="C175" s="6" t="s">
        <v>194</v>
      </c>
      <c r="D175" s="73">
        <v>5</v>
      </c>
      <c r="E175" s="65">
        <f t="shared" ref="E175:E206" si="9">D175/10.3*G$2</f>
        <v>5.7766990291262132</v>
      </c>
      <c r="F175" s="63">
        <f t="shared" si="7"/>
        <v>6</v>
      </c>
    </row>
    <row r="176" spans="1:6" x14ac:dyDescent="0.4">
      <c r="A176" s="6" t="s">
        <v>192</v>
      </c>
      <c r="B176" s="8">
        <v>45</v>
      </c>
      <c r="C176" s="6"/>
      <c r="D176" s="73">
        <v>5</v>
      </c>
      <c r="E176" s="65">
        <f t="shared" si="9"/>
        <v>5.7766990291262132</v>
      </c>
      <c r="F176" s="63">
        <f t="shared" si="7"/>
        <v>6</v>
      </c>
    </row>
    <row r="177" spans="1:6" x14ac:dyDescent="0.4">
      <c r="A177" s="6" t="s">
        <v>1127</v>
      </c>
      <c r="B177" s="8">
        <v>45</v>
      </c>
      <c r="C177" s="6"/>
      <c r="D177" s="73">
        <v>5</v>
      </c>
      <c r="E177" s="65">
        <f t="shared" si="9"/>
        <v>5.7766990291262132</v>
      </c>
      <c r="F177" s="63">
        <f t="shared" si="7"/>
        <v>6</v>
      </c>
    </row>
    <row r="178" spans="1:6" x14ac:dyDescent="0.4">
      <c r="A178" s="6" t="s">
        <v>195</v>
      </c>
      <c r="B178" s="8">
        <v>46</v>
      </c>
      <c r="C178" s="6"/>
      <c r="D178" s="73">
        <v>5</v>
      </c>
      <c r="E178" s="65">
        <f t="shared" si="9"/>
        <v>5.7766990291262132</v>
      </c>
      <c r="F178" s="63">
        <f t="shared" si="7"/>
        <v>6</v>
      </c>
    </row>
    <row r="179" spans="1:6" x14ac:dyDescent="0.4">
      <c r="A179" s="6" t="s">
        <v>196</v>
      </c>
      <c r="B179" s="8">
        <v>46</v>
      </c>
      <c r="C179" s="6"/>
      <c r="D179" s="73">
        <v>5</v>
      </c>
      <c r="E179" s="65">
        <f t="shared" si="9"/>
        <v>5.7766990291262132</v>
      </c>
      <c r="F179" s="63">
        <f t="shared" si="7"/>
        <v>6</v>
      </c>
    </row>
    <row r="180" spans="1:6" x14ac:dyDescent="0.4">
      <c r="A180" s="6" t="s">
        <v>197</v>
      </c>
      <c r="B180" s="8">
        <v>46</v>
      </c>
      <c r="C180" s="6"/>
      <c r="D180" s="73">
        <v>5</v>
      </c>
      <c r="E180" s="65">
        <f t="shared" si="9"/>
        <v>5.7766990291262132</v>
      </c>
      <c r="F180" s="63">
        <f t="shared" si="7"/>
        <v>6</v>
      </c>
    </row>
    <row r="181" spans="1:6" x14ac:dyDescent="0.4">
      <c r="A181" s="6" t="s">
        <v>198</v>
      </c>
      <c r="B181" s="8">
        <v>46</v>
      </c>
      <c r="C181" s="6"/>
      <c r="D181" s="73">
        <v>5</v>
      </c>
      <c r="E181" s="65">
        <f t="shared" si="9"/>
        <v>5.7766990291262132</v>
      </c>
      <c r="F181" s="63">
        <f t="shared" si="7"/>
        <v>6</v>
      </c>
    </row>
    <row r="182" spans="1:6" x14ac:dyDescent="0.4">
      <c r="A182" s="9" t="s">
        <v>199</v>
      </c>
      <c r="B182" s="10">
        <v>46</v>
      </c>
      <c r="C182" s="9" t="s">
        <v>200</v>
      </c>
      <c r="D182" s="73">
        <v>5</v>
      </c>
      <c r="E182" s="65">
        <f t="shared" si="9"/>
        <v>5.7766990291262132</v>
      </c>
      <c r="F182" s="63">
        <f t="shared" si="7"/>
        <v>6</v>
      </c>
    </row>
    <row r="183" spans="1:6" x14ac:dyDescent="0.4">
      <c r="A183" s="6" t="s">
        <v>201</v>
      </c>
      <c r="B183" s="8">
        <v>47</v>
      </c>
      <c r="C183" s="6" t="s">
        <v>202</v>
      </c>
      <c r="D183" s="73">
        <v>5</v>
      </c>
      <c r="E183" s="65">
        <f t="shared" si="9"/>
        <v>5.7766990291262132</v>
      </c>
      <c r="F183" s="63">
        <f t="shared" si="7"/>
        <v>6</v>
      </c>
    </row>
    <row r="184" spans="1:6" x14ac:dyDescent="0.4">
      <c r="A184" s="6" t="s">
        <v>203</v>
      </c>
      <c r="B184" s="8">
        <v>47</v>
      </c>
      <c r="C184" s="6" t="s">
        <v>204</v>
      </c>
      <c r="D184" s="73">
        <v>5</v>
      </c>
      <c r="E184" s="65">
        <f t="shared" si="9"/>
        <v>5.7766990291262132</v>
      </c>
      <c r="F184" s="63">
        <f t="shared" si="7"/>
        <v>6</v>
      </c>
    </row>
    <row r="185" spans="1:6" x14ac:dyDescent="0.4">
      <c r="A185" s="6" t="s">
        <v>205</v>
      </c>
      <c r="B185" s="8">
        <v>47</v>
      </c>
      <c r="C185" s="6" t="s">
        <v>209</v>
      </c>
      <c r="D185" s="73">
        <v>5</v>
      </c>
      <c r="E185" s="65">
        <f t="shared" si="9"/>
        <v>5.7766990291262132</v>
      </c>
      <c r="F185" s="63">
        <f t="shared" si="7"/>
        <v>6</v>
      </c>
    </row>
    <row r="186" spans="1:6" x14ac:dyDescent="0.4">
      <c r="A186" s="6" t="s">
        <v>206</v>
      </c>
      <c r="B186" s="8">
        <v>47</v>
      </c>
      <c r="C186" s="6" t="s">
        <v>210</v>
      </c>
      <c r="D186" s="73">
        <v>5</v>
      </c>
      <c r="E186" s="65">
        <f t="shared" si="9"/>
        <v>5.7766990291262132</v>
      </c>
      <c r="F186" s="63">
        <f t="shared" si="7"/>
        <v>6</v>
      </c>
    </row>
    <row r="187" spans="1:6" x14ac:dyDescent="0.4">
      <c r="A187" s="6" t="s">
        <v>207</v>
      </c>
      <c r="B187" s="8">
        <v>47</v>
      </c>
      <c r="C187" s="6" t="s">
        <v>208</v>
      </c>
      <c r="D187" s="73">
        <v>5</v>
      </c>
      <c r="E187" s="65">
        <f t="shared" si="9"/>
        <v>5.7766990291262132</v>
      </c>
      <c r="F187" s="63">
        <f t="shared" si="7"/>
        <v>6</v>
      </c>
    </row>
    <row r="188" spans="1:6" x14ac:dyDescent="0.4">
      <c r="A188" s="6" t="s">
        <v>211</v>
      </c>
      <c r="B188" s="8">
        <v>48</v>
      </c>
      <c r="C188" s="6" t="s">
        <v>212</v>
      </c>
      <c r="D188" s="73">
        <v>5</v>
      </c>
      <c r="E188" s="65">
        <f t="shared" si="9"/>
        <v>5.7766990291262132</v>
      </c>
      <c r="F188" s="63">
        <f t="shared" si="7"/>
        <v>6</v>
      </c>
    </row>
    <row r="189" spans="1:6" x14ac:dyDescent="0.4">
      <c r="A189" s="6" t="s">
        <v>213</v>
      </c>
      <c r="B189" s="8">
        <v>48</v>
      </c>
      <c r="C189" s="6"/>
      <c r="D189" s="73">
        <v>5</v>
      </c>
      <c r="E189" s="65">
        <f t="shared" si="9"/>
        <v>5.7766990291262132</v>
      </c>
      <c r="F189" s="63">
        <f t="shared" si="7"/>
        <v>6</v>
      </c>
    </row>
    <row r="190" spans="1:6" x14ac:dyDescent="0.4">
      <c r="A190" s="6" t="s">
        <v>214</v>
      </c>
      <c r="B190" s="8">
        <v>48</v>
      </c>
      <c r="C190" s="6"/>
      <c r="D190" s="73">
        <v>5</v>
      </c>
      <c r="E190" s="65">
        <f t="shared" si="9"/>
        <v>5.7766990291262132</v>
      </c>
      <c r="F190" s="63">
        <f t="shared" si="7"/>
        <v>6</v>
      </c>
    </row>
    <row r="191" spans="1:6" x14ac:dyDescent="0.4">
      <c r="A191" s="6" t="s">
        <v>215</v>
      </c>
      <c r="B191" s="8">
        <v>48</v>
      </c>
      <c r="C191" s="6"/>
      <c r="D191" s="73">
        <v>5</v>
      </c>
      <c r="E191" s="65">
        <f t="shared" si="9"/>
        <v>5.7766990291262132</v>
      </c>
      <c r="F191" s="63">
        <f t="shared" si="7"/>
        <v>6</v>
      </c>
    </row>
    <row r="192" spans="1:6" x14ac:dyDescent="0.4">
      <c r="A192" s="6" t="s">
        <v>127</v>
      </c>
      <c r="B192" s="8">
        <v>35</v>
      </c>
      <c r="C192" s="6" t="s">
        <v>126</v>
      </c>
      <c r="D192" s="73">
        <v>7</v>
      </c>
      <c r="E192" s="65">
        <f t="shared" si="9"/>
        <v>8.0873786407766985</v>
      </c>
      <c r="F192" s="63">
        <f t="shared" si="7"/>
        <v>8</v>
      </c>
    </row>
    <row r="193" spans="1:6" x14ac:dyDescent="0.4">
      <c r="A193" s="6" t="s">
        <v>242</v>
      </c>
      <c r="B193" s="8">
        <v>58</v>
      </c>
      <c r="C193" s="6"/>
      <c r="D193" s="73">
        <v>12</v>
      </c>
      <c r="E193" s="65">
        <f t="shared" si="9"/>
        <v>13.864077669902912</v>
      </c>
      <c r="F193" s="63">
        <f t="shared" si="7"/>
        <v>14</v>
      </c>
    </row>
    <row r="194" spans="1:6" x14ac:dyDescent="0.4">
      <c r="A194" s="6" t="s">
        <v>244</v>
      </c>
      <c r="B194" s="8">
        <v>58</v>
      </c>
      <c r="C194" s="6"/>
      <c r="D194" s="73">
        <v>12</v>
      </c>
      <c r="E194" s="65">
        <f t="shared" si="9"/>
        <v>13.864077669902912</v>
      </c>
      <c r="F194" s="63">
        <f t="shared" ref="F194:F257" si="10">ROUND(E194,0)</f>
        <v>14</v>
      </c>
    </row>
    <row r="195" spans="1:6" x14ac:dyDescent="0.4">
      <c r="A195" s="6" t="s">
        <v>277</v>
      </c>
      <c r="B195" s="8">
        <v>68</v>
      </c>
      <c r="C195" s="6" t="s">
        <v>278</v>
      </c>
      <c r="D195" s="73">
        <v>2</v>
      </c>
      <c r="E195" s="65">
        <f t="shared" si="9"/>
        <v>2.3106796116504853</v>
      </c>
      <c r="F195" s="63">
        <f t="shared" si="10"/>
        <v>2</v>
      </c>
    </row>
    <row r="196" spans="1:6" x14ac:dyDescent="0.4">
      <c r="A196" s="6" t="s">
        <v>331</v>
      </c>
      <c r="B196" s="8">
        <v>84</v>
      </c>
      <c r="C196" s="6"/>
      <c r="D196" s="73">
        <v>5</v>
      </c>
      <c r="E196" s="65">
        <f t="shared" si="9"/>
        <v>5.7766990291262132</v>
      </c>
      <c r="F196" s="63">
        <f t="shared" si="10"/>
        <v>6</v>
      </c>
    </row>
    <row r="197" spans="1:6" x14ac:dyDescent="0.4">
      <c r="A197" s="6" t="s">
        <v>332</v>
      </c>
      <c r="B197" s="8">
        <v>84</v>
      </c>
      <c r="C197" s="6"/>
      <c r="D197" s="73">
        <v>5</v>
      </c>
      <c r="E197" s="65">
        <f t="shared" si="9"/>
        <v>5.7766990291262132</v>
      </c>
      <c r="F197" s="63">
        <f t="shared" si="10"/>
        <v>6</v>
      </c>
    </row>
    <row r="198" spans="1:6" x14ac:dyDescent="0.4">
      <c r="A198" s="6" t="s">
        <v>333</v>
      </c>
      <c r="B198" s="8">
        <v>84</v>
      </c>
      <c r="C198" s="6"/>
      <c r="D198" s="73">
        <v>5</v>
      </c>
      <c r="E198" s="65">
        <f t="shared" si="9"/>
        <v>5.7766990291262132</v>
      </c>
      <c r="F198" s="63">
        <f t="shared" si="10"/>
        <v>6</v>
      </c>
    </row>
    <row r="199" spans="1:6" x14ac:dyDescent="0.4">
      <c r="A199" s="6" t="s">
        <v>334</v>
      </c>
      <c r="B199" s="8">
        <v>84</v>
      </c>
      <c r="C199" s="6"/>
      <c r="D199" s="73">
        <v>5</v>
      </c>
      <c r="E199" s="65">
        <f t="shared" si="9"/>
        <v>5.7766990291262132</v>
      </c>
      <c r="F199" s="63">
        <f t="shared" si="10"/>
        <v>6</v>
      </c>
    </row>
    <row r="200" spans="1:6" x14ac:dyDescent="0.4">
      <c r="A200" s="6" t="s">
        <v>328</v>
      </c>
      <c r="B200" s="8">
        <v>84</v>
      </c>
      <c r="C200" s="6"/>
      <c r="D200" s="73">
        <v>5</v>
      </c>
      <c r="E200" s="65">
        <f t="shared" si="9"/>
        <v>5.7766990291262132</v>
      </c>
      <c r="F200" s="63">
        <f t="shared" si="10"/>
        <v>6</v>
      </c>
    </row>
    <row r="201" spans="1:6" x14ac:dyDescent="0.4">
      <c r="A201" s="6" t="s">
        <v>329</v>
      </c>
      <c r="B201" s="8">
        <v>84</v>
      </c>
      <c r="C201" s="6"/>
      <c r="D201" s="73">
        <v>5</v>
      </c>
      <c r="E201" s="65">
        <f t="shared" si="9"/>
        <v>5.7766990291262132</v>
      </c>
      <c r="F201" s="63">
        <f t="shared" si="10"/>
        <v>6</v>
      </c>
    </row>
    <row r="202" spans="1:6" x14ac:dyDescent="0.4">
      <c r="A202" s="6" t="s">
        <v>330</v>
      </c>
      <c r="B202" s="8">
        <v>84</v>
      </c>
      <c r="C202" s="6"/>
      <c r="D202" s="73">
        <v>5</v>
      </c>
      <c r="E202" s="65">
        <f t="shared" si="9"/>
        <v>5.7766990291262132</v>
      </c>
      <c r="F202" s="63">
        <f t="shared" si="10"/>
        <v>6</v>
      </c>
    </row>
    <row r="203" spans="1:6" x14ac:dyDescent="0.4">
      <c r="A203" s="6" t="s">
        <v>219</v>
      </c>
      <c r="B203" s="8">
        <v>52</v>
      </c>
      <c r="C203" s="6" t="s">
        <v>220</v>
      </c>
      <c r="D203" s="73">
        <v>5</v>
      </c>
      <c r="E203" s="65">
        <f t="shared" si="9"/>
        <v>5.7766990291262132</v>
      </c>
      <c r="F203" s="63">
        <f t="shared" si="10"/>
        <v>6</v>
      </c>
    </row>
    <row r="204" spans="1:6" x14ac:dyDescent="0.4">
      <c r="A204" s="6" t="s">
        <v>1055</v>
      </c>
      <c r="B204" s="7">
        <v>131</v>
      </c>
      <c r="C204" s="6"/>
      <c r="D204" s="73">
        <v>10</v>
      </c>
      <c r="E204" s="65">
        <f t="shared" si="9"/>
        <v>11.553398058252426</v>
      </c>
      <c r="F204" s="63">
        <f t="shared" si="10"/>
        <v>12</v>
      </c>
    </row>
    <row r="205" spans="1:6" x14ac:dyDescent="0.4">
      <c r="A205" s="6" t="s">
        <v>1143</v>
      </c>
      <c r="B205" s="7">
        <v>130</v>
      </c>
      <c r="C205" s="6"/>
      <c r="D205" s="73">
        <v>10</v>
      </c>
      <c r="E205" s="65">
        <f t="shared" si="9"/>
        <v>11.553398058252426</v>
      </c>
      <c r="F205" s="63">
        <f t="shared" si="10"/>
        <v>12</v>
      </c>
    </row>
    <row r="206" spans="1:6" x14ac:dyDescent="0.4">
      <c r="A206" s="6" t="s">
        <v>164</v>
      </c>
      <c r="B206" s="8">
        <v>39</v>
      </c>
      <c r="C206" s="6"/>
      <c r="D206" s="73">
        <v>40</v>
      </c>
      <c r="E206" s="65">
        <f t="shared" si="9"/>
        <v>46.213592233009706</v>
      </c>
      <c r="F206" s="63">
        <f t="shared" si="10"/>
        <v>46</v>
      </c>
    </row>
    <row r="207" spans="1:6" x14ac:dyDescent="0.4">
      <c r="A207" s="6" t="s">
        <v>588</v>
      </c>
      <c r="B207" s="7">
        <v>141</v>
      </c>
      <c r="C207" s="6"/>
      <c r="D207" s="73">
        <v>10</v>
      </c>
      <c r="E207" s="65">
        <f t="shared" ref="E207" si="11">D207/10.3*G$2</f>
        <v>11.553398058252426</v>
      </c>
      <c r="F207" s="63">
        <f t="shared" si="10"/>
        <v>12</v>
      </c>
    </row>
    <row r="208" spans="1:6" x14ac:dyDescent="0.4">
      <c r="A208" s="6" t="s">
        <v>1074</v>
      </c>
      <c r="B208" s="7">
        <v>126</v>
      </c>
      <c r="C208" s="6"/>
      <c r="D208" s="73">
        <v>15</v>
      </c>
      <c r="E208" s="65">
        <v>35</v>
      </c>
      <c r="F208" s="63">
        <f t="shared" si="10"/>
        <v>35</v>
      </c>
    </row>
    <row r="209" spans="1:7" x14ac:dyDescent="0.4">
      <c r="A209" s="6" t="s">
        <v>1089</v>
      </c>
      <c r="B209" s="7">
        <v>74</v>
      </c>
      <c r="C209" s="6" t="s">
        <v>1090</v>
      </c>
      <c r="D209" s="73">
        <v>10</v>
      </c>
      <c r="E209" s="65">
        <f t="shared" ref="E209:E240" si="12">D209/10.3*G$2</f>
        <v>11.553398058252426</v>
      </c>
      <c r="F209" s="63">
        <f t="shared" si="10"/>
        <v>12</v>
      </c>
    </row>
    <row r="210" spans="1:7" x14ac:dyDescent="0.4">
      <c r="A210" s="9" t="s">
        <v>284</v>
      </c>
      <c r="B210" s="10">
        <v>71</v>
      </c>
      <c r="C210" s="9"/>
      <c r="D210" s="73">
        <v>10</v>
      </c>
      <c r="E210" s="65">
        <f t="shared" si="12"/>
        <v>11.553398058252426</v>
      </c>
      <c r="F210" s="63">
        <f t="shared" si="10"/>
        <v>12</v>
      </c>
    </row>
    <row r="211" spans="1:7" x14ac:dyDescent="0.4">
      <c r="A211" s="6" t="s">
        <v>283</v>
      </c>
      <c r="B211" s="8">
        <v>71</v>
      </c>
      <c r="C211" s="6"/>
      <c r="D211" s="73">
        <v>10</v>
      </c>
      <c r="E211" s="65">
        <f t="shared" si="12"/>
        <v>11.553398058252426</v>
      </c>
      <c r="F211" s="63">
        <f t="shared" si="10"/>
        <v>12</v>
      </c>
    </row>
    <row r="212" spans="1:7" x14ac:dyDescent="0.4">
      <c r="A212" s="6" t="s">
        <v>985</v>
      </c>
      <c r="B212" s="8">
        <v>65</v>
      </c>
      <c r="C212" s="6" t="s">
        <v>986</v>
      </c>
      <c r="D212" s="73">
        <v>8</v>
      </c>
      <c r="E212" s="65">
        <f t="shared" si="12"/>
        <v>9.2427184466019412</v>
      </c>
      <c r="F212" s="63">
        <f t="shared" si="10"/>
        <v>9</v>
      </c>
    </row>
    <row r="213" spans="1:7" x14ac:dyDescent="0.4">
      <c r="A213" s="6" t="s">
        <v>351</v>
      </c>
      <c r="B213" s="8">
        <v>88</v>
      </c>
      <c r="C213" s="6"/>
      <c r="D213" s="73">
        <v>10</v>
      </c>
      <c r="E213" s="65">
        <f t="shared" si="12"/>
        <v>11.553398058252426</v>
      </c>
      <c r="F213" s="63">
        <f t="shared" si="10"/>
        <v>12</v>
      </c>
    </row>
    <row r="214" spans="1:7" s="3" customFormat="1" x14ac:dyDescent="0.4">
      <c r="A214" s="6" t="s">
        <v>105</v>
      </c>
      <c r="B214" s="8">
        <v>31</v>
      </c>
      <c r="C214" s="6" t="s">
        <v>110</v>
      </c>
      <c r="D214" s="73">
        <v>3</v>
      </c>
      <c r="E214" s="65">
        <f t="shared" si="12"/>
        <v>3.4660194174757279</v>
      </c>
      <c r="F214" s="63">
        <f t="shared" si="10"/>
        <v>3</v>
      </c>
      <c r="G214" s="62"/>
    </row>
    <row r="215" spans="1:7" x14ac:dyDescent="0.4">
      <c r="A215" s="6" t="s">
        <v>348</v>
      </c>
      <c r="B215" s="8">
        <v>88</v>
      </c>
      <c r="C215" s="6"/>
      <c r="D215" s="73">
        <v>10</v>
      </c>
      <c r="E215" s="65">
        <f t="shared" si="12"/>
        <v>11.553398058252426</v>
      </c>
      <c r="F215" s="63">
        <f t="shared" si="10"/>
        <v>12</v>
      </c>
    </row>
    <row r="216" spans="1:7" x14ac:dyDescent="0.4">
      <c r="A216" s="6" t="s">
        <v>350</v>
      </c>
      <c r="B216" s="8">
        <v>88</v>
      </c>
      <c r="C216" s="6"/>
      <c r="D216" s="73">
        <v>10</v>
      </c>
      <c r="E216" s="65">
        <f t="shared" si="12"/>
        <v>11.553398058252426</v>
      </c>
      <c r="F216" s="63">
        <f t="shared" si="10"/>
        <v>12</v>
      </c>
    </row>
    <row r="217" spans="1:7" x14ac:dyDescent="0.4">
      <c r="A217" s="6" t="s">
        <v>349</v>
      </c>
      <c r="B217" s="8">
        <v>88</v>
      </c>
      <c r="C217" s="6"/>
      <c r="D217" s="73">
        <v>10</v>
      </c>
      <c r="E217" s="65">
        <f t="shared" si="12"/>
        <v>11.553398058252426</v>
      </c>
      <c r="F217" s="63">
        <f t="shared" si="10"/>
        <v>12</v>
      </c>
    </row>
    <row r="218" spans="1:7" x14ac:dyDescent="0.4">
      <c r="A218" s="6" t="s">
        <v>576</v>
      </c>
      <c r="B218" s="7">
        <v>139</v>
      </c>
      <c r="C218" s="6" t="s">
        <v>1147</v>
      </c>
      <c r="D218" s="73">
        <v>7</v>
      </c>
      <c r="E218" s="65">
        <f t="shared" si="12"/>
        <v>8.0873786407766985</v>
      </c>
      <c r="F218" s="63">
        <f t="shared" si="10"/>
        <v>8</v>
      </c>
    </row>
    <row r="219" spans="1:7" x14ac:dyDescent="0.4">
      <c r="A219" s="9" t="s">
        <v>525</v>
      </c>
      <c r="B219" s="10">
        <v>126</v>
      </c>
      <c r="C219" s="9"/>
      <c r="D219" s="73">
        <v>20</v>
      </c>
      <c r="E219" s="65">
        <f t="shared" si="12"/>
        <v>23.106796116504853</v>
      </c>
      <c r="F219" s="63">
        <f t="shared" si="10"/>
        <v>23</v>
      </c>
    </row>
    <row r="220" spans="1:7" x14ac:dyDescent="0.4">
      <c r="A220" s="6" t="s">
        <v>362</v>
      </c>
      <c r="B220" s="8">
        <v>91</v>
      </c>
      <c r="C220" s="6"/>
      <c r="D220" s="73">
        <v>12</v>
      </c>
      <c r="E220" s="65">
        <f t="shared" si="12"/>
        <v>13.864077669902912</v>
      </c>
      <c r="F220" s="63">
        <f t="shared" si="10"/>
        <v>14</v>
      </c>
    </row>
    <row r="221" spans="1:7" x14ac:dyDescent="0.4">
      <c r="A221" s="6" t="s">
        <v>577</v>
      </c>
      <c r="B221" s="7">
        <v>139</v>
      </c>
      <c r="C221" s="6"/>
      <c r="D221" s="73">
        <v>10</v>
      </c>
      <c r="E221" s="65">
        <f t="shared" si="12"/>
        <v>11.553398058252426</v>
      </c>
      <c r="F221" s="63">
        <f t="shared" si="10"/>
        <v>12</v>
      </c>
    </row>
    <row r="222" spans="1:7" s="3" customFormat="1" x14ac:dyDescent="0.4">
      <c r="A222" s="6" t="s">
        <v>489</v>
      </c>
      <c r="B222" s="7">
        <v>114</v>
      </c>
      <c r="C222" s="6"/>
      <c r="D222" s="73">
        <v>5</v>
      </c>
      <c r="E222" s="65">
        <f t="shared" si="12"/>
        <v>5.7766990291262132</v>
      </c>
      <c r="F222" s="63">
        <f t="shared" si="10"/>
        <v>6</v>
      </c>
      <c r="G222" s="62"/>
    </row>
    <row r="223" spans="1:7" x14ac:dyDescent="0.4">
      <c r="A223" s="6" t="s">
        <v>180</v>
      </c>
      <c r="B223" s="8">
        <v>43</v>
      </c>
      <c r="C223" s="6"/>
      <c r="D223" s="73">
        <v>10</v>
      </c>
      <c r="E223" s="65">
        <f t="shared" si="12"/>
        <v>11.553398058252426</v>
      </c>
      <c r="F223" s="63">
        <f t="shared" si="10"/>
        <v>12</v>
      </c>
    </row>
    <row r="224" spans="1:7" x14ac:dyDescent="0.4">
      <c r="A224" s="9" t="s">
        <v>179</v>
      </c>
      <c r="B224" s="10">
        <v>43</v>
      </c>
      <c r="C224" s="9"/>
      <c r="D224" s="73">
        <v>12</v>
      </c>
      <c r="E224" s="65">
        <f t="shared" si="12"/>
        <v>13.864077669902912</v>
      </c>
      <c r="F224" s="63">
        <f t="shared" si="10"/>
        <v>14</v>
      </c>
    </row>
    <row r="225" spans="1:7" x14ac:dyDescent="0.4">
      <c r="A225" s="6" t="s">
        <v>83</v>
      </c>
      <c r="B225" s="8">
        <v>29</v>
      </c>
      <c r="C225" s="6"/>
      <c r="D225" s="73">
        <v>3</v>
      </c>
      <c r="E225" s="65">
        <f t="shared" si="12"/>
        <v>3.4660194174757279</v>
      </c>
      <c r="F225" s="63">
        <f t="shared" si="10"/>
        <v>3</v>
      </c>
    </row>
    <row r="226" spans="1:7" x14ac:dyDescent="0.4">
      <c r="A226" s="6" t="s">
        <v>96</v>
      </c>
      <c r="B226" s="8">
        <v>31</v>
      </c>
      <c r="C226" s="6" t="s">
        <v>97</v>
      </c>
      <c r="D226" s="73">
        <v>3</v>
      </c>
      <c r="E226" s="65">
        <f t="shared" si="12"/>
        <v>3.4660194174757279</v>
      </c>
      <c r="F226" s="63">
        <f t="shared" si="10"/>
        <v>3</v>
      </c>
    </row>
    <row r="227" spans="1:7" x14ac:dyDescent="0.4">
      <c r="A227" s="6" t="s">
        <v>586</v>
      </c>
      <c r="B227" s="7">
        <v>140</v>
      </c>
      <c r="C227" s="6"/>
      <c r="D227" s="73">
        <v>11.5</v>
      </c>
      <c r="E227" s="65">
        <f t="shared" si="12"/>
        <v>13.28640776699029</v>
      </c>
      <c r="F227" s="63">
        <f t="shared" si="10"/>
        <v>13</v>
      </c>
    </row>
    <row r="228" spans="1:7" x14ac:dyDescent="0.4">
      <c r="A228" s="6" t="s">
        <v>1600</v>
      </c>
      <c r="B228" s="8">
        <v>31</v>
      </c>
      <c r="C228" s="6" t="s">
        <v>111</v>
      </c>
      <c r="D228" s="73">
        <v>3</v>
      </c>
      <c r="E228" s="65">
        <f t="shared" si="12"/>
        <v>3.4660194174757279</v>
      </c>
      <c r="F228" s="63">
        <f t="shared" si="10"/>
        <v>3</v>
      </c>
    </row>
    <row r="229" spans="1:7" x14ac:dyDescent="0.4">
      <c r="A229" s="6" t="s">
        <v>358</v>
      </c>
      <c r="B229" s="8">
        <v>90</v>
      </c>
      <c r="C229" s="6"/>
      <c r="D229" s="73">
        <v>10</v>
      </c>
      <c r="E229" s="65">
        <f t="shared" si="12"/>
        <v>11.553398058252426</v>
      </c>
      <c r="F229" s="63">
        <f t="shared" si="10"/>
        <v>12</v>
      </c>
    </row>
    <row r="230" spans="1:7" x14ac:dyDescent="0.4">
      <c r="A230" s="6" t="s">
        <v>502</v>
      </c>
      <c r="B230" s="7">
        <v>117</v>
      </c>
      <c r="C230" s="6"/>
      <c r="D230" s="73">
        <v>17</v>
      </c>
      <c r="E230" s="65">
        <f t="shared" si="12"/>
        <v>19.640776699029125</v>
      </c>
      <c r="F230" s="63">
        <f t="shared" si="10"/>
        <v>20</v>
      </c>
    </row>
    <row r="231" spans="1:7" x14ac:dyDescent="0.4">
      <c r="A231" s="6" t="s">
        <v>162</v>
      </c>
      <c r="B231" s="8">
        <v>39</v>
      </c>
      <c r="C231" s="6"/>
      <c r="D231" s="73">
        <v>10</v>
      </c>
      <c r="E231" s="65">
        <f t="shared" si="12"/>
        <v>11.553398058252426</v>
      </c>
      <c r="F231" s="63">
        <f t="shared" si="10"/>
        <v>12</v>
      </c>
    </row>
    <row r="232" spans="1:7" x14ac:dyDescent="0.4">
      <c r="A232" s="6" t="s">
        <v>821</v>
      </c>
      <c r="B232" s="8" t="s">
        <v>815</v>
      </c>
      <c r="C232" s="6" t="s">
        <v>822</v>
      </c>
      <c r="D232" s="73">
        <v>3</v>
      </c>
      <c r="E232" s="65">
        <f t="shared" si="12"/>
        <v>3.4660194174757279</v>
      </c>
      <c r="F232" s="63">
        <f t="shared" si="10"/>
        <v>3</v>
      </c>
    </row>
    <row r="233" spans="1:7" x14ac:dyDescent="0.4">
      <c r="A233" s="6" t="s">
        <v>884</v>
      </c>
      <c r="B233" s="8" t="s">
        <v>882</v>
      </c>
      <c r="C233" s="11" t="s">
        <v>885</v>
      </c>
      <c r="D233" s="73">
        <v>3</v>
      </c>
      <c r="E233" s="65">
        <f t="shared" si="12"/>
        <v>3.4660194174757279</v>
      </c>
      <c r="F233" s="63">
        <f t="shared" si="10"/>
        <v>3</v>
      </c>
    </row>
    <row r="234" spans="1:7" s="3" customFormat="1" x14ac:dyDescent="0.4">
      <c r="A234" s="9" t="s">
        <v>828</v>
      </c>
      <c r="B234" s="10" t="s">
        <v>826</v>
      </c>
      <c r="C234" s="9" t="s">
        <v>829</v>
      </c>
      <c r="D234" s="73">
        <v>1</v>
      </c>
      <c r="E234" s="65">
        <f t="shared" si="12"/>
        <v>1.1553398058252426</v>
      </c>
      <c r="F234" s="63">
        <f t="shared" si="10"/>
        <v>1</v>
      </c>
      <c r="G234" s="62"/>
    </row>
    <row r="235" spans="1:7" x14ac:dyDescent="0.4">
      <c r="A235" s="6" t="s">
        <v>807</v>
      </c>
      <c r="B235" s="8" t="s">
        <v>808</v>
      </c>
      <c r="C235" s="6" t="s">
        <v>809</v>
      </c>
      <c r="D235" s="73">
        <v>0.5</v>
      </c>
      <c r="E235" s="65">
        <f t="shared" si="12"/>
        <v>0.57766990291262132</v>
      </c>
      <c r="F235" s="63">
        <f t="shared" si="10"/>
        <v>1</v>
      </c>
    </row>
    <row r="236" spans="1:7" x14ac:dyDescent="0.4">
      <c r="A236" s="6" t="s">
        <v>810</v>
      </c>
      <c r="B236" s="8" t="s">
        <v>808</v>
      </c>
      <c r="C236" s="6" t="s">
        <v>811</v>
      </c>
      <c r="D236" s="73">
        <v>0.5</v>
      </c>
      <c r="E236" s="65">
        <f t="shared" si="12"/>
        <v>0.57766990291262132</v>
      </c>
      <c r="F236" s="63">
        <f t="shared" si="10"/>
        <v>1</v>
      </c>
    </row>
    <row r="237" spans="1:7" x14ac:dyDescent="0.4">
      <c r="A237" s="6" t="s">
        <v>814</v>
      </c>
      <c r="B237" s="8" t="s">
        <v>815</v>
      </c>
      <c r="C237" s="6" t="s">
        <v>816</v>
      </c>
      <c r="D237" s="73">
        <v>0.5</v>
      </c>
      <c r="E237" s="65">
        <f t="shared" si="12"/>
        <v>0.57766990291262132</v>
      </c>
      <c r="F237" s="63">
        <f t="shared" si="10"/>
        <v>1</v>
      </c>
    </row>
    <row r="238" spans="1:7" x14ac:dyDescent="0.4">
      <c r="A238" s="6" t="s">
        <v>817</v>
      </c>
      <c r="B238" s="8" t="s">
        <v>815</v>
      </c>
      <c r="C238" s="6" t="s">
        <v>818</v>
      </c>
      <c r="D238" s="73">
        <v>1</v>
      </c>
      <c r="E238" s="65">
        <f t="shared" si="12"/>
        <v>1.1553398058252426</v>
      </c>
      <c r="F238" s="63">
        <f t="shared" si="10"/>
        <v>1</v>
      </c>
    </row>
    <row r="239" spans="1:7" x14ac:dyDescent="0.4">
      <c r="A239" s="6" t="s">
        <v>845</v>
      </c>
      <c r="B239" s="8" t="s">
        <v>843</v>
      </c>
      <c r="C239" s="6" t="s">
        <v>846</v>
      </c>
      <c r="D239" s="73">
        <v>1</v>
      </c>
      <c r="E239" s="65">
        <f t="shared" si="12"/>
        <v>1.1553398058252426</v>
      </c>
      <c r="F239" s="63">
        <f t="shared" si="10"/>
        <v>1</v>
      </c>
    </row>
    <row r="240" spans="1:7" x14ac:dyDescent="0.4">
      <c r="A240" s="6" t="s">
        <v>842</v>
      </c>
      <c r="B240" s="8" t="s">
        <v>843</v>
      </c>
      <c r="C240" s="6" t="s">
        <v>844</v>
      </c>
      <c r="D240" s="73">
        <v>2</v>
      </c>
      <c r="E240" s="65">
        <f t="shared" si="12"/>
        <v>2.3106796116504853</v>
      </c>
      <c r="F240" s="63">
        <f t="shared" si="10"/>
        <v>2</v>
      </c>
    </row>
    <row r="241" spans="1:7" s="3" customFormat="1" x14ac:dyDescent="0.4">
      <c r="A241" s="9" t="s">
        <v>856</v>
      </c>
      <c r="B241" s="10" t="s">
        <v>850</v>
      </c>
      <c r="C241" s="9" t="s">
        <v>857</v>
      </c>
      <c r="D241" s="73">
        <v>3</v>
      </c>
      <c r="E241" s="65">
        <f t="shared" ref="E241:E272" si="13">D241/10.3*G$2</f>
        <v>3.4660194174757279</v>
      </c>
      <c r="F241" s="63">
        <f t="shared" si="10"/>
        <v>3</v>
      </c>
      <c r="G241" s="62"/>
    </row>
    <row r="242" spans="1:7" x14ac:dyDescent="0.4">
      <c r="A242" s="6" t="s">
        <v>854</v>
      </c>
      <c r="B242" s="8" t="s">
        <v>850</v>
      </c>
      <c r="C242" s="6" t="s">
        <v>855</v>
      </c>
      <c r="D242" s="73">
        <v>3</v>
      </c>
      <c r="E242" s="65">
        <f t="shared" si="13"/>
        <v>3.4660194174757279</v>
      </c>
      <c r="F242" s="63">
        <f t="shared" si="10"/>
        <v>3</v>
      </c>
    </row>
    <row r="243" spans="1:7" x14ac:dyDescent="0.4">
      <c r="A243" s="6" t="s">
        <v>819</v>
      </c>
      <c r="B243" s="8" t="s">
        <v>815</v>
      </c>
      <c r="C243" s="6" t="s">
        <v>820</v>
      </c>
      <c r="D243" s="73">
        <v>1</v>
      </c>
      <c r="E243" s="65">
        <f t="shared" si="13"/>
        <v>1.1553398058252426</v>
      </c>
      <c r="F243" s="63">
        <f t="shared" si="10"/>
        <v>1</v>
      </c>
    </row>
    <row r="244" spans="1:7" x14ac:dyDescent="0.4">
      <c r="A244" s="6" t="s">
        <v>830</v>
      </c>
      <c r="B244" s="8" t="s">
        <v>826</v>
      </c>
      <c r="C244" s="6" t="s">
        <v>831</v>
      </c>
      <c r="D244" s="73">
        <v>0.5</v>
      </c>
      <c r="E244" s="65">
        <f t="shared" si="13"/>
        <v>0.57766990291262132</v>
      </c>
      <c r="F244" s="63">
        <f t="shared" si="10"/>
        <v>1</v>
      </c>
    </row>
    <row r="245" spans="1:7" x14ac:dyDescent="0.4">
      <c r="A245" s="6" t="s">
        <v>896</v>
      </c>
      <c r="B245" s="8" t="s">
        <v>897</v>
      </c>
      <c r="C245" s="11" t="s">
        <v>898</v>
      </c>
      <c r="D245" s="73">
        <v>3</v>
      </c>
      <c r="E245" s="65">
        <f t="shared" si="13"/>
        <v>3.4660194174757279</v>
      </c>
      <c r="F245" s="63">
        <f t="shared" si="10"/>
        <v>3</v>
      </c>
    </row>
    <row r="246" spans="1:7" x14ac:dyDescent="0.4">
      <c r="A246" s="6" t="s">
        <v>881</v>
      </c>
      <c r="B246" s="8" t="s">
        <v>882</v>
      </c>
      <c r="C246" s="11" t="s">
        <v>883</v>
      </c>
      <c r="D246" s="73">
        <v>3</v>
      </c>
      <c r="E246" s="65">
        <f t="shared" si="13"/>
        <v>3.4660194174757279</v>
      </c>
      <c r="F246" s="63">
        <f t="shared" si="10"/>
        <v>3</v>
      </c>
    </row>
    <row r="247" spans="1:7" x14ac:dyDescent="0.4">
      <c r="A247" s="6" t="s">
        <v>1079</v>
      </c>
      <c r="B247" s="7" t="s">
        <v>901</v>
      </c>
      <c r="C247" s="6" t="s">
        <v>1080</v>
      </c>
      <c r="D247" s="73">
        <v>3</v>
      </c>
      <c r="E247" s="65">
        <f t="shared" si="13"/>
        <v>3.4660194174757279</v>
      </c>
      <c r="F247" s="63">
        <f t="shared" si="10"/>
        <v>3</v>
      </c>
    </row>
    <row r="248" spans="1:7" x14ac:dyDescent="0.4">
      <c r="A248" s="6" t="s">
        <v>891</v>
      </c>
      <c r="B248" s="8" t="s">
        <v>887</v>
      </c>
      <c r="C248" s="11" t="s">
        <v>813</v>
      </c>
      <c r="D248" s="73">
        <v>3</v>
      </c>
      <c r="E248" s="65">
        <f t="shared" si="13"/>
        <v>3.4660194174757279</v>
      </c>
      <c r="F248" s="63">
        <f t="shared" si="10"/>
        <v>3</v>
      </c>
    </row>
    <row r="249" spans="1:7" x14ac:dyDescent="0.4">
      <c r="A249" s="6" t="s">
        <v>889</v>
      </c>
      <c r="B249" s="8" t="s">
        <v>887</v>
      </c>
      <c r="C249" s="11" t="s">
        <v>890</v>
      </c>
      <c r="D249" s="73">
        <v>3</v>
      </c>
      <c r="E249" s="65">
        <f t="shared" si="13"/>
        <v>3.4660194174757279</v>
      </c>
      <c r="F249" s="63">
        <f t="shared" si="10"/>
        <v>3</v>
      </c>
    </row>
    <row r="250" spans="1:7" x14ac:dyDescent="0.4">
      <c r="A250" s="9" t="s">
        <v>849</v>
      </c>
      <c r="B250" s="10" t="s">
        <v>850</v>
      </c>
      <c r="C250" s="9" t="s">
        <v>851</v>
      </c>
      <c r="D250" s="73">
        <v>1.5</v>
      </c>
      <c r="E250" s="65">
        <f t="shared" si="13"/>
        <v>1.733009708737864</v>
      </c>
      <c r="F250" s="63">
        <v>3</v>
      </c>
    </row>
    <row r="251" spans="1:7" x14ac:dyDescent="0.4">
      <c r="A251" s="6" t="s">
        <v>840</v>
      </c>
      <c r="B251" s="8" t="s">
        <v>833</v>
      </c>
      <c r="C251" s="6" t="s">
        <v>841</v>
      </c>
      <c r="D251" s="73">
        <v>3</v>
      </c>
      <c r="E251" s="65">
        <f t="shared" si="13"/>
        <v>3.4660194174757279</v>
      </c>
      <c r="F251" s="63">
        <f t="shared" si="10"/>
        <v>3</v>
      </c>
    </row>
    <row r="252" spans="1:7" x14ac:dyDescent="0.4">
      <c r="A252" s="6" t="s">
        <v>839</v>
      </c>
      <c r="B252" s="8" t="s">
        <v>833</v>
      </c>
      <c r="C252" s="6" t="s">
        <v>836</v>
      </c>
      <c r="D252" s="73">
        <v>3</v>
      </c>
      <c r="E252" s="65">
        <f t="shared" si="13"/>
        <v>3.4660194174757279</v>
      </c>
      <c r="F252" s="63">
        <f t="shared" si="10"/>
        <v>3</v>
      </c>
    </row>
    <row r="253" spans="1:7" x14ac:dyDescent="0.4">
      <c r="A253" s="6" t="s">
        <v>870</v>
      </c>
      <c r="B253" s="8" t="s">
        <v>871</v>
      </c>
      <c r="C253" s="11" t="s">
        <v>872</v>
      </c>
      <c r="D253" s="73">
        <v>1</v>
      </c>
      <c r="E253" s="65">
        <f t="shared" si="13"/>
        <v>1.1553398058252426</v>
      </c>
      <c r="F253" s="63">
        <f t="shared" si="10"/>
        <v>1</v>
      </c>
    </row>
    <row r="254" spans="1:7" x14ac:dyDescent="0.4">
      <c r="A254" s="6" t="s">
        <v>905</v>
      </c>
      <c r="B254" s="8" t="s">
        <v>901</v>
      </c>
      <c r="C254" s="11" t="s">
        <v>906</v>
      </c>
      <c r="D254" s="73">
        <v>3</v>
      </c>
      <c r="E254" s="65">
        <f t="shared" si="13"/>
        <v>3.4660194174757279</v>
      </c>
      <c r="F254" s="63">
        <f t="shared" si="10"/>
        <v>3</v>
      </c>
    </row>
    <row r="255" spans="1:7" x14ac:dyDescent="0.4">
      <c r="A255" s="6" t="s">
        <v>875</v>
      </c>
      <c r="B255" s="8" t="s">
        <v>871</v>
      </c>
      <c r="C255" s="11" t="s">
        <v>876</v>
      </c>
      <c r="D255" s="73">
        <v>1</v>
      </c>
      <c r="E255" s="65">
        <f t="shared" si="13"/>
        <v>1.1553398058252426</v>
      </c>
      <c r="F255" s="63">
        <f t="shared" si="10"/>
        <v>1</v>
      </c>
    </row>
    <row r="256" spans="1:7" x14ac:dyDescent="0.4">
      <c r="A256" s="6" t="s">
        <v>877</v>
      </c>
      <c r="B256" s="8" t="s">
        <v>871</v>
      </c>
      <c r="C256" s="11" t="s">
        <v>878</v>
      </c>
      <c r="D256" s="73">
        <v>2</v>
      </c>
      <c r="E256" s="65">
        <f t="shared" si="13"/>
        <v>2.3106796116504853</v>
      </c>
      <c r="F256" s="63">
        <f t="shared" si="10"/>
        <v>2</v>
      </c>
    </row>
    <row r="257" spans="1:7" s="3" customFormat="1" x14ac:dyDescent="0.4">
      <c r="A257" s="6" t="s">
        <v>837</v>
      </c>
      <c r="B257" s="8" t="s">
        <v>833</v>
      </c>
      <c r="C257" s="6" t="s">
        <v>838</v>
      </c>
      <c r="D257" s="73">
        <v>3</v>
      </c>
      <c r="E257" s="65">
        <f t="shared" si="13"/>
        <v>3.4660194174757279</v>
      </c>
      <c r="F257" s="63">
        <f t="shared" si="10"/>
        <v>3</v>
      </c>
      <c r="G257" s="62"/>
    </row>
    <row r="258" spans="1:7" x14ac:dyDescent="0.4">
      <c r="A258" s="6" t="s">
        <v>903</v>
      </c>
      <c r="B258" s="8" t="s">
        <v>901</v>
      </c>
      <c r="C258" s="11" t="s">
        <v>904</v>
      </c>
      <c r="D258" s="73">
        <v>15</v>
      </c>
      <c r="E258" s="65">
        <f t="shared" si="13"/>
        <v>17.33009708737864</v>
      </c>
      <c r="F258" s="63">
        <f t="shared" ref="F258:F321" si="14">ROUND(E258,0)</f>
        <v>17</v>
      </c>
    </row>
    <row r="259" spans="1:7" s="3" customFormat="1" x14ac:dyDescent="0.4">
      <c r="A259" s="6" t="s">
        <v>1578</v>
      </c>
      <c r="B259" s="7" t="s">
        <v>815</v>
      </c>
      <c r="C259" s="6"/>
      <c r="D259" s="73">
        <v>1</v>
      </c>
      <c r="E259" s="65">
        <f t="shared" si="13"/>
        <v>1.1553398058252426</v>
      </c>
      <c r="F259" s="63">
        <f t="shared" si="14"/>
        <v>1</v>
      </c>
      <c r="G259" s="62"/>
    </row>
    <row r="260" spans="1:7" x14ac:dyDescent="0.4">
      <c r="A260" s="6" t="s">
        <v>873</v>
      </c>
      <c r="B260" s="8" t="s">
        <v>871</v>
      </c>
      <c r="C260" s="11" t="s">
        <v>874</v>
      </c>
      <c r="D260" s="73">
        <v>1</v>
      </c>
      <c r="E260" s="65">
        <f t="shared" si="13"/>
        <v>1.1553398058252426</v>
      </c>
      <c r="F260" s="63">
        <f t="shared" si="14"/>
        <v>1</v>
      </c>
    </row>
    <row r="261" spans="1:7" s="4" customFormat="1" x14ac:dyDescent="0.4">
      <c r="A261" s="6" t="s">
        <v>825</v>
      </c>
      <c r="B261" s="8" t="s">
        <v>826</v>
      </c>
      <c r="C261" s="6" t="s">
        <v>827</v>
      </c>
      <c r="D261" s="73">
        <v>3</v>
      </c>
      <c r="E261" s="65">
        <f t="shared" si="13"/>
        <v>3.4660194174757279</v>
      </c>
      <c r="F261" s="63">
        <f t="shared" si="14"/>
        <v>3</v>
      </c>
      <c r="G261" s="61"/>
    </row>
    <row r="262" spans="1:7" x14ac:dyDescent="0.4">
      <c r="A262" s="6" t="s">
        <v>835</v>
      </c>
      <c r="B262" s="8" t="s">
        <v>833</v>
      </c>
      <c r="C262" s="6" t="s">
        <v>836</v>
      </c>
      <c r="D262" s="73">
        <v>3</v>
      </c>
      <c r="E262" s="65">
        <f t="shared" si="13"/>
        <v>3.4660194174757279</v>
      </c>
      <c r="F262" s="63">
        <f t="shared" si="14"/>
        <v>3</v>
      </c>
    </row>
    <row r="263" spans="1:7" x14ac:dyDescent="0.4">
      <c r="A263" s="6" t="s">
        <v>1642</v>
      </c>
      <c r="B263" s="8" t="s">
        <v>897</v>
      </c>
      <c r="C263" s="11" t="s">
        <v>899</v>
      </c>
      <c r="D263" s="73">
        <v>3</v>
      </c>
      <c r="E263" s="65">
        <f t="shared" si="13"/>
        <v>3.4660194174757279</v>
      </c>
      <c r="F263" s="63">
        <f t="shared" si="14"/>
        <v>3</v>
      </c>
    </row>
    <row r="264" spans="1:7" x14ac:dyDescent="0.4">
      <c r="A264" s="6" t="s">
        <v>900</v>
      </c>
      <c r="B264" s="8" t="s">
        <v>901</v>
      </c>
      <c r="C264" s="11" t="s">
        <v>902</v>
      </c>
      <c r="D264" s="73">
        <v>10</v>
      </c>
      <c r="E264" s="65">
        <f t="shared" si="13"/>
        <v>11.553398058252426</v>
      </c>
      <c r="F264" s="63">
        <f t="shared" si="14"/>
        <v>12</v>
      </c>
    </row>
    <row r="265" spans="1:7" x14ac:dyDescent="0.4">
      <c r="A265" s="6" t="s">
        <v>879</v>
      </c>
      <c r="B265" s="8" t="s">
        <v>871</v>
      </c>
      <c r="C265" s="11" t="s">
        <v>880</v>
      </c>
      <c r="D265" s="73">
        <v>8</v>
      </c>
      <c r="E265" s="65">
        <f t="shared" si="13"/>
        <v>9.2427184466019412</v>
      </c>
      <c r="F265" s="63">
        <f t="shared" si="14"/>
        <v>9</v>
      </c>
    </row>
    <row r="266" spans="1:7" x14ac:dyDescent="0.4">
      <c r="A266" s="6" t="s">
        <v>545</v>
      </c>
      <c r="B266" s="7">
        <v>130</v>
      </c>
      <c r="C266" s="6"/>
      <c r="D266" s="73">
        <v>5</v>
      </c>
      <c r="E266" s="65">
        <f t="shared" si="13"/>
        <v>5.7766990291262132</v>
      </c>
      <c r="F266" s="63">
        <f t="shared" si="14"/>
        <v>6</v>
      </c>
    </row>
    <row r="267" spans="1:7" x14ac:dyDescent="0.4">
      <c r="A267" s="6" t="s">
        <v>939</v>
      </c>
      <c r="B267" s="7">
        <v>96</v>
      </c>
      <c r="C267" s="6"/>
      <c r="D267" s="73">
        <v>15</v>
      </c>
      <c r="E267" s="65">
        <f t="shared" si="13"/>
        <v>17.33009708737864</v>
      </c>
      <c r="F267" s="63">
        <f t="shared" si="14"/>
        <v>17</v>
      </c>
    </row>
    <row r="268" spans="1:7" x14ac:dyDescent="0.4">
      <c r="A268" s="9" t="s">
        <v>865</v>
      </c>
      <c r="B268" s="10" t="s">
        <v>861</v>
      </c>
      <c r="C268" s="9" t="s">
        <v>866</v>
      </c>
      <c r="D268" s="73">
        <v>10</v>
      </c>
      <c r="E268" s="65">
        <f t="shared" si="13"/>
        <v>11.553398058252426</v>
      </c>
      <c r="F268" s="63">
        <f t="shared" si="14"/>
        <v>12</v>
      </c>
    </row>
    <row r="269" spans="1:7" x14ac:dyDescent="0.4">
      <c r="A269" s="6" t="s">
        <v>1107</v>
      </c>
      <c r="B269" s="7" t="s">
        <v>871</v>
      </c>
      <c r="C269" s="6"/>
      <c r="D269" s="73">
        <v>22</v>
      </c>
      <c r="E269" s="65">
        <f t="shared" si="13"/>
        <v>25.417475728155338</v>
      </c>
      <c r="F269" s="63">
        <f t="shared" si="14"/>
        <v>25</v>
      </c>
    </row>
    <row r="270" spans="1:7" x14ac:dyDescent="0.4">
      <c r="A270" s="11" t="s">
        <v>860</v>
      </c>
      <c r="B270" s="7" t="s">
        <v>861</v>
      </c>
      <c r="C270" s="11" t="s">
        <v>862</v>
      </c>
      <c r="D270" s="73">
        <v>3</v>
      </c>
      <c r="E270" s="65">
        <f t="shared" si="13"/>
        <v>3.4660194174757279</v>
      </c>
      <c r="F270" s="63">
        <f t="shared" si="14"/>
        <v>3</v>
      </c>
    </row>
    <row r="271" spans="1:7" x14ac:dyDescent="0.4">
      <c r="A271" s="6" t="s">
        <v>863</v>
      </c>
      <c r="B271" s="8" t="s">
        <v>861</v>
      </c>
      <c r="C271" s="6" t="s">
        <v>864</v>
      </c>
      <c r="D271" s="73">
        <v>3</v>
      </c>
      <c r="E271" s="65">
        <f t="shared" si="13"/>
        <v>3.4660194174757279</v>
      </c>
      <c r="F271" s="63">
        <f t="shared" si="14"/>
        <v>3</v>
      </c>
    </row>
    <row r="272" spans="1:7" s="3" customFormat="1" x14ac:dyDescent="0.4">
      <c r="A272" s="6" t="s">
        <v>998</v>
      </c>
      <c r="B272" s="8">
        <v>10</v>
      </c>
      <c r="C272" s="6" t="s">
        <v>4</v>
      </c>
      <c r="D272" s="73">
        <v>15</v>
      </c>
      <c r="E272" s="65">
        <f t="shared" si="13"/>
        <v>17.33009708737864</v>
      </c>
      <c r="F272" s="63">
        <f t="shared" si="14"/>
        <v>17</v>
      </c>
      <c r="G272" s="62"/>
    </row>
    <row r="273" spans="1:6" x14ac:dyDescent="0.4">
      <c r="A273" s="6" t="s">
        <v>1577</v>
      </c>
      <c r="B273" s="7" t="s">
        <v>815</v>
      </c>
      <c r="C273" s="6"/>
      <c r="D273" s="73">
        <v>3</v>
      </c>
      <c r="E273" s="65">
        <f t="shared" ref="E273:E293" si="15">D273/10.3*G$2</f>
        <v>3.4660194174757279</v>
      </c>
      <c r="F273" s="63">
        <f t="shared" si="14"/>
        <v>3</v>
      </c>
    </row>
    <row r="274" spans="1:6" x14ac:dyDescent="0.4">
      <c r="A274" s="6" t="s">
        <v>823</v>
      </c>
      <c r="B274" s="8" t="s">
        <v>815</v>
      </c>
      <c r="C274" s="6" t="s">
        <v>824</v>
      </c>
      <c r="D274" s="73">
        <v>3</v>
      </c>
      <c r="E274" s="65">
        <f t="shared" si="15"/>
        <v>3.4660194174757279</v>
      </c>
      <c r="F274" s="63">
        <f t="shared" si="14"/>
        <v>3</v>
      </c>
    </row>
    <row r="275" spans="1:6" x14ac:dyDescent="0.4">
      <c r="A275" s="6" t="s">
        <v>832</v>
      </c>
      <c r="B275" s="8" t="s">
        <v>833</v>
      </c>
      <c r="C275" s="6" t="s">
        <v>834</v>
      </c>
      <c r="D275" s="73">
        <v>7</v>
      </c>
      <c r="E275" s="65">
        <f t="shared" si="15"/>
        <v>8.0873786407766985</v>
      </c>
      <c r="F275" s="63">
        <f t="shared" si="14"/>
        <v>8</v>
      </c>
    </row>
    <row r="276" spans="1:6" x14ac:dyDescent="0.4">
      <c r="A276" s="6" t="s">
        <v>847</v>
      </c>
      <c r="B276" s="8" t="s">
        <v>843</v>
      </c>
      <c r="C276" s="6" t="s">
        <v>848</v>
      </c>
      <c r="D276" s="73">
        <v>1</v>
      </c>
      <c r="E276" s="65">
        <f t="shared" si="15"/>
        <v>1.1553398058252426</v>
      </c>
      <c r="F276" s="63">
        <f t="shared" si="14"/>
        <v>1</v>
      </c>
    </row>
    <row r="277" spans="1:6" x14ac:dyDescent="0.4">
      <c r="A277" s="6" t="s">
        <v>886</v>
      </c>
      <c r="B277" s="8" t="s">
        <v>887</v>
      </c>
      <c r="C277" s="11" t="s">
        <v>888</v>
      </c>
      <c r="D277" s="73">
        <v>3</v>
      </c>
      <c r="E277" s="65">
        <f t="shared" si="15"/>
        <v>3.4660194174757279</v>
      </c>
      <c r="F277" s="63">
        <f t="shared" si="14"/>
        <v>3</v>
      </c>
    </row>
    <row r="278" spans="1:6" x14ac:dyDescent="0.4">
      <c r="A278" s="9" t="s">
        <v>858</v>
      </c>
      <c r="B278" s="10" t="s">
        <v>850</v>
      </c>
      <c r="C278" s="9" t="s">
        <v>859</v>
      </c>
      <c r="D278" s="73">
        <v>3</v>
      </c>
      <c r="E278" s="65">
        <f t="shared" si="15"/>
        <v>3.4660194174757279</v>
      </c>
      <c r="F278" s="63">
        <f t="shared" si="14"/>
        <v>3</v>
      </c>
    </row>
    <row r="279" spans="1:6" x14ac:dyDescent="0.4">
      <c r="A279" s="6" t="s">
        <v>991</v>
      </c>
      <c r="B279" s="8" t="s">
        <v>826</v>
      </c>
      <c r="C279" s="6" t="s">
        <v>992</v>
      </c>
      <c r="D279" s="73">
        <v>3</v>
      </c>
      <c r="E279" s="65">
        <f t="shared" si="15"/>
        <v>3.4660194174757279</v>
      </c>
      <c r="F279" s="63">
        <f t="shared" si="14"/>
        <v>3</v>
      </c>
    </row>
    <row r="280" spans="1:6" x14ac:dyDescent="0.4">
      <c r="A280" s="6" t="s">
        <v>852</v>
      </c>
      <c r="B280" s="8" t="s">
        <v>850</v>
      </c>
      <c r="C280" s="6" t="s">
        <v>853</v>
      </c>
      <c r="D280" s="73">
        <v>3</v>
      </c>
      <c r="E280" s="65">
        <f t="shared" si="15"/>
        <v>3.4660194174757279</v>
      </c>
      <c r="F280" s="63">
        <f t="shared" si="14"/>
        <v>3</v>
      </c>
    </row>
    <row r="281" spans="1:6" x14ac:dyDescent="0.4">
      <c r="A281" s="6" t="s">
        <v>1121</v>
      </c>
      <c r="B281" s="7">
        <v>13</v>
      </c>
      <c r="C281" s="6"/>
      <c r="D281" s="73">
        <v>3</v>
      </c>
      <c r="E281" s="65">
        <f t="shared" si="15"/>
        <v>3.4660194174757279</v>
      </c>
      <c r="F281" s="63">
        <f t="shared" si="14"/>
        <v>3</v>
      </c>
    </row>
    <row r="282" spans="1:6" x14ac:dyDescent="0.4">
      <c r="A282" s="9" t="s">
        <v>1666</v>
      </c>
      <c r="B282" s="10" t="s">
        <v>861</v>
      </c>
      <c r="C282" s="9" t="s">
        <v>867</v>
      </c>
      <c r="D282" s="73">
        <v>3</v>
      </c>
      <c r="E282" s="65">
        <f t="shared" si="15"/>
        <v>3.4660194174757279</v>
      </c>
      <c r="F282" s="63">
        <f t="shared" si="14"/>
        <v>3</v>
      </c>
    </row>
    <row r="283" spans="1:6" x14ac:dyDescent="0.4">
      <c r="A283" s="11" t="s">
        <v>868</v>
      </c>
      <c r="B283" s="8" t="s">
        <v>861</v>
      </c>
      <c r="C283" s="11" t="s">
        <v>869</v>
      </c>
      <c r="D283" s="73">
        <v>15</v>
      </c>
      <c r="E283" s="65">
        <f t="shared" si="15"/>
        <v>17.33009708737864</v>
      </c>
      <c r="F283" s="63">
        <f t="shared" si="14"/>
        <v>17</v>
      </c>
    </row>
    <row r="284" spans="1:6" x14ac:dyDescent="0.4">
      <c r="A284" s="6" t="s">
        <v>980</v>
      </c>
      <c r="B284" s="7">
        <v>142</v>
      </c>
      <c r="C284" s="6" t="s">
        <v>979</v>
      </c>
      <c r="D284" s="73">
        <v>15</v>
      </c>
      <c r="E284" s="65">
        <f t="shared" si="15"/>
        <v>17.33009708737864</v>
      </c>
      <c r="F284" s="63">
        <f t="shared" si="14"/>
        <v>17</v>
      </c>
    </row>
    <row r="285" spans="1:6" x14ac:dyDescent="0.4">
      <c r="A285" s="6" t="s">
        <v>812</v>
      </c>
      <c r="B285" s="8" t="s">
        <v>808</v>
      </c>
      <c r="C285" s="6" t="s">
        <v>813</v>
      </c>
      <c r="D285" s="73">
        <v>0.5</v>
      </c>
      <c r="E285" s="65">
        <f t="shared" si="15"/>
        <v>0.57766990291262132</v>
      </c>
      <c r="F285" s="63">
        <f t="shared" si="14"/>
        <v>1</v>
      </c>
    </row>
    <row r="286" spans="1:6" x14ac:dyDescent="0.4">
      <c r="A286" s="6" t="s">
        <v>894</v>
      </c>
      <c r="B286" s="8" t="s">
        <v>887</v>
      </c>
      <c r="C286" s="11" t="s">
        <v>895</v>
      </c>
      <c r="D286" s="73">
        <v>0.5</v>
      </c>
      <c r="E286" s="65">
        <f t="shared" si="15"/>
        <v>0.57766990291262132</v>
      </c>
      <c r="F286" s="63">
        <f t="shared" si="14"/>
        <v>1</v>
      </c>
    </row>
    <row r="287" spans="1:6" x14ac:dyDescent="0.4">
      <c r="A287" s="6" t="s">
        <v>892</v>
      </c>
      <c r="B287" s="8" t="s">
        <v>887</v>
      </c>
      <c r="C287" s="11" t="s">
        <v>893</v>
      </c>
      <c r="D287" s="73">
        <v>0.5</v>
      </c>
      <c r="E287" s="65">
        <f t="shared" si="15"/>
        <v>0.57766990291262132</v>
      </c>
      <c r="F287" s="63">
        <f t="shared" si="14"/>
        <v>1</v>
      </c>
    </row>
    <row r="288" spans="1:6" x14ac:dyDescent="0.4">
      <c r="A288" s="6" t="s">
        <v>157</v>
      </c>
      <c r="B288" s="8">
        <v>39</v>
      </c>
      <c r="C288" s="6"/>
      <c r="D288" s="73">
        <v>10</v>
      </c>
      <c r="E288" s="65">
        <f t="shared" si="15"/>
        <v>11.553398058252426</v>
      </c>
      <c r="F288" s="63">
        <f t="shared" si="14"/>
        <v>12</v>
      </c>
    </row>
    <row r="289" spans="1:6" x14ac:dyDescent="0.4">
      <c r="A289" s="6" t="s">
        <v>343</v>
      </c>
      <c r="B289" s="8">
        <v>86</v>
      </c>
      <c r="C289" s="6"/>
      <c r="D289" s="73">
        <v>10</v>
      </c>
      <c r="E289" s="65">
        <f t="shared" si="15"/>
        <v>11.553398058252426</v>
      </c>
      <c r="F289" s="63">
        <f t="shared" si="14"/>
        <v>12</v>
      </c>
    </row>
    <row r="290" spans="1:6" x14ac:dyDescent="0.4">
      <c r="A290" s="6" t="s">
        <v>500</v>
      </c>
      <c r="B290" s="7">
        <v>117</v>
      </c>
      <c r="C290" s="6"/>
      <c r="D290" s="73">
        <v>40</v>
      </c>
      <c r="E290" s="65">
        <f t="shared" si="15"/>
        <v>46.213592233009706</v>
      </c>
      <c r="F290" s="63">
        <f t="shared" si="14"/>
        <v>46</v>
      </c>
    </row>
    <row r="291" spans="1:6" x14ac:dyDescent="0.4">
      <c r="A291" s="9" t="s">
        <v>926</v>
      </c>
      <c r="B291" s="10" t="s">
        <v>925</v>
      </c>
      <c r="C291" s="9"/>
      <c r="D291" s="73">
        <v>5</v>
      </c>
      <c r="E291" s="65">
        <f t="shared" si="15"/>
        <v>5.7766990291262132</v>
      </c>
      <c r="F291" s="63">
        <f t="shared" si="14"/>
        <v>6</v>
      </c>
    </row>
    <row r="292" spans="1:6" x14ac:dyDescent="0.4">
      <c r="A292" s="9" t="s">
        <v>927</v>
      </c>
      <c r="B292" s="10" t="s">
        <v>925</v>
      </c>
      <c r="C292" s="9"/>
      <c r="D292" s="73">
        <v>5</v>
      </c>
      <c r="E292" s="65">
        <f t="shared" si="15"/>
        <v>5.7766990291262132</v>
      </c>
      <c r="F292" s="63">
        <f t="shared" si="14"/>
        <v>6</v>
      </c>
    </row>
    <row r="293" spans="1:6" x14ac:dyDescent="0.4">
      <c r="A293" s="6" t="s">
        <v>924</v>
      </c>
      <c r="B293" s="8" t="s">
        <v>925</v>
      </c>
      <c r="C293" s="6"/>
      <c r="D293" s="73">
        <v>5</v>
      </c>
      <c r="E293" s="65">
        <f t="shared" si="15"/>
        <v>5.7766990291262132</v>
      </c>
      <c r="F293" s="63">
        <f t="shared" si="14"/>
        <v>6</v>
      </c>
    </row>
    <row r="294" spans="1:6" x14ac:dyDescent="0.4">
      <c r="A294" s="6" t="s">
        <v>524</v>
      </c>
      <c r="B294" s="7">
        <v>126</v>
      </c>
      <c r="C294" s="6" t="s">
        <v>747</v>
      </c>
      <c r="D294" s="73">
        <v>15</v>
      </c>
      <c r="E294" s="65">
        <v>20</v>
      </c>
      <c r="F294" s="63">
        <f t="shared" si="14"/>
        <v>20</v>
      </c>
    </row>
    <row r="295" spans="1:6" x14ac:dyDescent="0.4">
      <c r="A295" s="6" t="s">
        <v>1075</v>
      </c>
      <c r="B295" s="7">
        <v>56</v>
      </c>
      <c r="C295" s="6"/>
      <c r="D295" s="73">
        <v>35</v>
      </c>
      <c r="E295" s="65">
        <f t="shared" ref="E295:E358" si="16">D295/10.3*G$2</f>
        <v>40.436893203883493</v>
      </c>
      <c r="F295" s="63">
        <f t="shared" si="14"/>
        <v>40</v>
      </c>
    </row>
    <row r="296" spans="1:6" x14ac:dyDescent="0.4">
      <c r="A296" s="6" t="s">
        <v>119</v>
      </c>
      <c r="B296" s="8">
        <v>32</v>
      </c>
      <c r="C296" s="6" t="s">
        <v>120</v>
      </c>
      <c r="D296" s="73">
        <v>20</v>
      </c>
      <c r="E296" s="65">
        <f t="shared" si="16"/>
        <v>23.106796116504853</v>
      </c>
      <c r="F296" s="63">
        <f t="shared" si="14"/>
        <v>23</v>
      </c>
    </row>
    <row r="297" spans="1:6" x14ac:dyDescent="0.4">
      <c r="A297" s="6" t="s">
        <v>1123</v>
      </c>
      <c r="B297" s="7">
        <v>50</v>
      </c>
      <c r="C297" s="6"/>
      <c r="D297" s="73">
        <v>155</v>
      </c>
      <c r="E297" s="65">
        <f t="shared" si="16"/>
        <v>179.07766990291262</v>
      </c>
      <c r="F297" s="63">
        <f t="shared" si="14"/>
        <v>179</v>
      </c>
    </row>
    <row r="298" spans="1:6" x14ac:dyDescent="0.4">
      <c r="A298" s="6" t="s">
        <v>1124</v>
      </c>
      <c r="B298" s="7">
        <v>96</v>
      </c>
      <c r="C298" s="6"/>
      <c r="D298" s="73">
        <v>15</v>
      </c>
      <c r="E298" s="65">
        <f t="shared" si="16"/>
        <v>17.33009708737864</v>
      </c>
      <c r="F298" s="63">
        <f t="shared" si="14"/>
        <v>17</v>
      </c>
    </row>
    <row r="299" spans="1:6" x14ac:dyDescent="0.4">
      <c r="A299" s="6" t="s">
        <v>1139</v>
      </c>
      <c r="B299" s="7">
        <v>130</v>
      </c>
      <c r="C299" s="6"/>
      <c r="D299" s="73">
        <v>10</v>
      </c>
      <c r="E299" s="65">
        <f t="shared" si="16"/>
        <v>11.553398058252426</v>
      </c>
      <c r="F299" s="63">
        <f t="shared" si="14"/>
        <v>12</v>
      </c>
    </row>
    <row r="300" spans="1:6" x14ac:dyDescent="0.4">
      <c r="A300" s="6" t="s">
        <v>672</v>
      </c>
      <c r="B300" s="8">
        <v>20</v>
      </c>
      <c r="C300" s="6" t="s">
        <v>621</v>
      </c>
      <c r="D300" s="73">
        <v>5</v>
      </c>
      <c r="E300" s="65">
        <f t="shared" si="16"/>
        <v>5.7766990291262132</v>
      </c>
      <c r="F300" s="63">
        <f t="shared" si="14"/>
        <v>6</v>
      </c>
    </row>
    <row r="301" spans="1:6" x14ac:dyDescent="0.4">
      <c r="A301" s="6" t="s">
        <v>668</v>
      </c>
      <c r="B301" s="8">
        <v>20</v>
      </c>
      <c r="C301" s="6" t="s">
        <v>621</v>
      </c>
      <c r="D301" s="73">
        <v>5</v>
      </c>
      <c r="E301" s="65">
        <f t="shared" si="16"/>
        <v>5.7766990291262132</v>
      </c>
      <c r="F301" s="63">
        <f t="shared" si="14"/>
        <v>6</v>
      </c>
    </row>
    <row r="302" spans="1:6" x14ac:dyDescent="0.4">
      <c r="A302" s="6" t="s">
        <v>623</v>
      </c>
      <c r="B302" s="8">
        <v>4</v>
      </c>
      <c r="C302" s="6" t="s">
        <v>621</v>
      </c>
      <c r="D302" s="73">
        <v>5</v>
      </c>
      <c r="E302" s="65">
        <f t="shared" si="16"/>
        <v>5.7766990291262132</v>
      </c>
      <c r="F302" s="63">
        <f t="shared" si="14"/>
        <v>6</v>
      </c>
    </row>
    <row r="303" spans="1:6" x14ac:dyDescent="0.4">
      <c r="A303" s="6" t="s">
        <v>1670</v>
      </c>
      <c r="B303" s="8">
        <v>20</v>
      </c>
      <c r="C303" s="6" t="s">
        <v>670</v>
      </c>
      <c r="D303" s="73">
        <v>5</v>
      </c>
      <c r="E303" s="65">
        <f t="shared" si="16"/>
        <v>5.7766990291262132</v>
      </c>
      <c r="F303" s="63">
        <v>8</v>
      </c>
    </row>
    <row r="304" spans="1:6" x14ac:dyDescent="0.4">
      <c r="A304" s="6" t="s">
        <v>669</v>
      </c>
      <c r="B304" s="8">
        <v>20</v>
      </c>
      <c r="C304" s="6" t="s">
        <v>671</v>
      </c>
      <c r="D304" s="73">
        <v>5</v>
      </c>
      <c r="E304" s="65">
        <f t="shared" si="16"/>
        <v>5.7766990291262132</v>
      </c>
      <c r="F304" s="63">
        <f t="shared" si="14"/>
        <v>6</v>
      </c>
    </row>
    <row r="305" spans="1:7" x14ac:dyDescent="0.4">
      <c r="A305" s="6" t="s">
        <v>622</v>
      </c>
      <c r="B305" s="8">
        <v>4</v>
      </c>
      <c r="C305" s="6" t="s">
        <v>621</v>
      </c>
      <c r="D305" s="73">
        <v>5</v>
      </c>
      <c r="E305" s="65">
        <f t="shared" si="16"/>
        <v>5.7766990291262132</v>
      </c>
      <c r="F305" s="63">
        <f t="shared" si="14"/>
        <v>6</v>
      </c>
    </row>
    <row r="306" spans="1:7" x14ac:dyDescent="0.4">
      <c r="A306" s="6" t="s">
        <v>620</v>
      </c>
      <c r="B306" s="8">
        <v>4</v>
      </c>
      <c r="C306" s="6" t="s">
        <v>621</v>
      </c>
      <c r="D306" s="73">
        <v>5</v>
      </c>
      <c r="E306" s="65">
        <f t="shared" si="16"/>
        <v>5.7766990291262132</v>
      </c>
      <c r="F306" s="63">
        <f t="shared" si="14"/>
        <v>6</v>
      </c>
    </row>
    <row r="307" spans="1:7" x14ac:dyDescent="0.4">
      <c r="A307" s="6" t="s">
        <v>1118</v>
      </c>
      <c r="B307" s="7">
        <v>17</v>
      </c>
      <c r="C307" s="6"/>
      <c r="D307" s="73">
        <v>105</v>
      </c>
      <c r="E307" s="65">
        <f t="shared" si="16"/>
        <v>121.31067961165049</v>
      </c>
      <c r="F307" s="63">
        <f t="shared" si="14"/>
        <v>121</v>
      </c>
    </row>
    <row r="308" spans="1:7" s="3" customFormat="1" x14ac:dyDescent="0.4">
      <c r="A308" s="6" t="s">
        <v>393</v>
      </c>
      <c r="B308" s="7">
        <v>98</v>
      </c>
      <c r="C308" s="6"/>
      <c r="D308" s="73">
        <v>5</v>
      </c>
      <c r="E308" s="65">
        <f t="shared" si="16"/>
        <v>5.7766990291262132</v>
      </c>
      <c r="F308" s="63">
        <f t="shared" si="14"/>
        <v>6</v>
      </c>
      <c r="G308" s="62"/>
    </row>
    <row r="309" spans="1:7" x14ac:dyDescent="0.4">
      <c r="A309" s="6" t="s">
        <v>394</v>
      </c>
      <c r="B309" s="7">
        <v>98</v>
      </c>
      <c r="C309" s="6"/>
      <c r="D309" s="73">
        <v>6</v>
      </c>
      <c r="E309" s="65">
        <f t="shared" si="16"/>
        <v>6.9320388349514559</v>
      </c>
      <c r="F309" s="63">
        <f t="shared" si="14"/>
        <v>7</v>
      </c>
    </row>
    <row r="310" spans="1:7" x14ac:dyDescent="0.4">
      <c r="A310" s="6" t="s">
        <v>128</v>
      </c>
      <c r="B310" s="8">
        <v>35</v>
      </c>
      <c r="C310" s="6" t="s">
        <v>129</v>
      </c>
      <c r="D310" s="73">
        <v>5</v>
      </c>
      <c r="E310" s="65">
        <f t="shared" si="16"/>
        <v>5.7766990291262132</v>
      </c>
      <c r="F310" s="63">
        <f t="shared" si="14"/>
        <v>6</v>
      </c>
    </row>
    <row r="311" spans="1:7" x14ac:dyDescent="0.4">
      <c r="A311" s="6" t="s">
        <v>1142</v>
      </c>
      <c r="B311" s="7">
        <v>130</v>
      </c>
      <c r="C311" s="6"/>
      <c r="D311" s="73">
        <v>10</v>
      </c>
      <c r="E311" s="65">
        <f t="shared" si="16"/>
        <v>11.553398058252426</v>
      </c>
      <c r="F311" s="63">
        <f t="shared" si="14"/>
        <v>12</v>
      </c>
    </row>
    <row r="312" spans="1:7" x14ac:dyDescent="0.4">
      <c r="A312" s="6" t="s">
        <v>1668</v>
      </c>
      <c r="B312" s="8"/>
      <c r="C312" s="6" t="s">
        <v>949</v>
      </c>
      <c r="D312" s="73">
        <v>95</v>
      </c>
      <c r="E312" s="65">
        <f t="shared" si="16"/>
        <v>109.75728155339804</v>
      </c>
      <c r="F312" s="63">
        <f t="shared" si="14"/>
        <v>110</v>
      </c>
    </row>
    <row r="313" spans="1:7" x14ac:dyDescent="0.4">
      <c r="A313" s="6" t="s">
        <v>995</v>
      </c>
      <c r="B313" s="8">
        <v>35</v>
      </c>
      <c r="C313" s="6" t="s">
        <v>996</v>
      </c>
      <c r="D313" s="73">
        <v>5</v>
      </c>
      <c r="E313" s="65">
        <f t="shared" si="16"/>
        <v>5.7766990291262132</v>
      </c>
      <c r="F313" s="63">
        <f t="shared" si="14"/>
        <v>6</v>
      </c>
    </row>
    <row r="314" spans="1:7" x14ac:dyDescent="0.4">
      <c r="A314" s="6" t="s">
        <v>514</v>
      </c>
      <c r="B314" s="7">
        <v>120</v>
      </c>
      <c r="C314" s="6"/>
      <c r="D314" s="73">
        <v>17</v>
      </c>
      <c r="E314" s="65">
        <f t="shared" si="16"/>
        <v>19.640776699029125</v>
      </c>
      <c r="F314" s="63">
        <f t="shared" si="14"/>
        <v>20</v>
      </c>
    </row>
    <row r="315" spans="1:7" x14ac:dyDescent="0.4">
      <c r="A315" s="6" t="s">
        <v>513</v>
      </c>
      <c r="B315" s="7">
        <v>120</v>
      </c>
      <c r="C315" s="6"/>
      <c r="D315" s="73">
        <v>17</v>
      </c>
      <c r="E315" s="65">
        <f t="shared" si="16"/>
        <v>19.640776699029125</v>
      </c>
      <c r="F315" s="63">
        <f t="shared" si="14"/>
        <v>20</v>
      </c>
    </row>
    <row r="316" spans="1:7" x14ac:dyDescent="0.4">
      <c r="A316" s="6" t="s">
        <v>954</v>
      </c>
      <c r="B316" s="7">
        <v>39</v>
      </c>
      <c r="C316" s="6"/>
      <c r="D316" s="73">
        <v>15</v>
      </c>
      <c r="E316" s="65">
        <f t="shared" si="16"/>
        <v>17.33009708737864</v>
      </c>
      <c r="F316" s="63">
        <f t="shared" si="14"/>
        <v>17</v>
      </c>
    </row>
    <row r="317" spans="1:7" x14ac:dyDescent="0.4">
      <c r="A317" s="6" t="s">
        <v>1005</v>
      </c>
      <c r="B317" s="7">
        <v>134</v>
      </c>
      <c r="C317" s="6"/>
      <c r="D317" s="73">
        <v>15</v>
      </c>
      <c r="E317" s="65">
        <f t="shared" si="16"/>
        <v>17.33009708737864</v>
      </c>
      <c r="F317" s="63">
        <f t="shared" si="14"/>
        <v>17</v>
      </c>
    </row>
    <row r="318" spans="1:7" x14ac:dyDescent="0.4">
      <c r="A318" s="6" t="s">
        <v>978</v>
      </c>
      <c r="B318" s="7">
        <v>39</v>
      </c>
      <c r="C318" s="6"/>
      <c r="D318" s="73">
        <v>10</v>
      </c>
      <c r="E318" s="65">
        <f t="shared" si="16"/>
        <v>11.553398058252426</v>
      </c>
      <c r="F318" s="63">
        <f t="shared" si="14"/>
        <v>12</v>
      </c>
    </row>
    <row r="319" spans="1:7" x14ac:dyDescent="0.4">
      <c r="A319" s="6" t="s">
        <v>515</v>
      </c>
      <c r="B319" s="7">
        <v>120</v>
      </c>
      <c r="C319" s="6"/>
      <c r="D319" s="73">
        <v>20</v>
      </c>
      <c r="E319" s="65">
        <f t="shared" si="16"/>
        <v>23.106796116504853</v>
      </c>
      <c r="F319" s="63">
        <f t="shared" si="14"/>
        <v>23</v>
      </c>
    </row>
    <row r="320" spans="1:7" x14ac:dyDescent="0.4">
      <c r="A320" s="6" t="s">
        <v>21</v>
      </c>
      <c r="B320" s="8">
        <v>13</v>
      </c>
      <c r="C320" s="6"/>
      <c r="D320" s="73">
        <v>10</v>
      </c>
      <c r="E320" s="65">
        <f t="shared" si="16"/>
        <v>11.553398058252426</v>
      </c>
      <c r="F320" s="63">
        <f t="shared" si="14"/>
        <v>12</v>
      </c>
    </row>
    <row r="321" spans="1:7" s="3" customFormat="1" x14ac:dyDescent="0.4">
      <c r="A321" s="6" t="s">
        <v>507</v>
      </c>
      <c r="B321" s="7">
        <v>118</v>
      </c>
      <c r="C321" s="6"/>
      <c r="D321" s="73">
        <v>12</v>
      </c>
      <c r="E321" s="65">
        <f t="shared" si="16"/>
        <v>13.864077669902912</v>
      </c>
      <c r="F321" s="63">
        <f t="shared" si="14"/>
        <v>14</v>
      </c>
      <c r="G321" s="62"/>
    </row>
    <row r="322" spans="1:7" x14ac:dyDescent="0.4">
      <c r="A322" s="6" t="s">
        <v>1016</v>
      </c>
      <c r="B322" s="8">
        <v>129</v>
      </c>
      <c r="C322" s="6" t="s">
        <v>1017</v>
      </c>
      <c r="D322" s="73">
        <v>10</v>
      </c>
      <c r="E322" s="65">
        <f t="shared" si="16"/>
        <v>11.553398058252426</v>
      </c>
      <c r="F322" s="63">
        <f t="shared" ref="F322:F385" si="17">ROUND(E322,0)</f>
        <v>12</v>
      </c>
    </row>
    <row r="323" spans="1:7" x14ac:dyDescent="0.4">
      <c r="A323" s="6" t="s">
        <v>749</v>
      </c>
      <c r="B323" s="8" t="s">
        <v>1667</v>
      </c>
      <c r="C323" s="6" t="s">
        <v>24</v>
      </c>
      <c r="D323" s="73">
        <v>40</v>
      </c>
      <c r="E323" s="65">
        <f t="shared" si="16"/>
        <v>46.213592233009706</v>
      </c>
      <c r="F323" s="63">
        <f t="shared" si="17"/>
        <v>46</v>
      </c>
    </row>
    <row r="324" spans="1:7" x14ac:dyDescent="0.4">
      <c r="A324" s="6" t="s">
        <v>750</v>
      </c>
      <c r="B324" s="8">
        <v>15</v>
      </c>
      <c r="C324" s="6" t="s">
        <v>30</v>
      </c>
      <c r="D324" s="73">
        <v>50</v>
      </c>
      <c r="E324" s="65">
        <f t="shared" si="16"/>
        <v>57.766990291262132</v>
      </c>
      <c r="F324" s="63">
        <f t="shared" si="17"/>
        <v>58</v>
      </c>
    </row>
    <row r="325" spans="1:7" s="3" customFormat="1" x14ac:dyDescent="0.4">
      <c r="A325" s="6" t="s">
        <v>1132</v>
      </c>
      <c r="B325" s="7">
        <v>30</v>
      </c>
      <c r="C325" s="6" t="s">
        <v>1133</v>
      </c>
      <c r="D325" s="73">
        <v>25</v>
      </c>
      <c r="E325" s="65">
        <f t="shared" si="16"/>
        <v>28.883495145631066</v>
      </c>
      <c r="F325" s="63">
        <f t="shared" si="17"/>
        <v>29</v>
      </c>
      <c r="G325" s="62"/>
    </row>
    <row r="326" spans="1:7" x14ac:dyDescent="0.4">
      <c r="A326" s="6" t="s">
        <v>748</v>
      </c>
      <c r="B326" s="8">
        <v>14</v>
      </c>
      <c r="C326" s="6" t="s">
        <v>25</v>
      </c>
      <c r="D326" s="73">
        <v>40</v>
      </c>
      <c r="E326" s="65">
        <f t="shared" si="16"/>
        <v>46.213592233009706</v>
      </c>
      <c r="F326" s="63">
        <f t="shared" si="17"/>
        <v>46</v>
      </c>
    </row>
    <row r="327" spans="1:7" x14ac:dyDescent="0.4">
      <c r="A327" s="6" t="s">
        <v>678</v>
      </c>
      <c r="B327" s="8">
        <v>14</v>
      </c>
      <c r="C327" s="6" t="s">
        <v>27</v>
      </c>
      <c r="D327" s="73">
        <v>25</v>
      </c>
      <c r="E327" s="65">
        <f t="shared" si="16"/>
        <v>28.883495145631066</v>
      </c>
      <c r="F327" s="63">
        <f t="shared" si="17"/>
        <v>29</v>
      </c>
    </row>
    <row r="328" spans="1:7" s="3" customFormat="1" x14ac:dyDescent="0.4">
      <c r="A328" s="6" t="s">
        <v>679</v>
      </c>
      <c r="B328" s="8" t="s">
        <v>1667</v>
      </c>
      <c r="C328" s="6" t="s">
        <v>29</v>
      </c>
      <c r="D328" s="73">
        <v>20</v>
      </c>
      <c r="E328" s="65">
        <f t="shared" si="16"/>
        <v>23.106796116504853</v>
      </c>
      <c r="F328" s="63">
        <f t="shared" si="17"/>
        <v>23</v>
      </c>
      <c r="G328" s="62"/>
    </row>
    <row r="329" spans="1:7" x14ac:dyDescent="0.4">
      <c r="A329" s="6" t="s">
        <v>680</v>
      </c>
      <c r="B329" s="8">
        <v>14</v>
      </c>
      <c r="C329" s="6" t="s">
        <v>26</v>
      </c>
      <c r="D329" s="73">
        <v>40</v>
      </c>
      <c r="E329" s="65">
        <f t="shared" si="16"/>
        <v>46.213592233009706</v>
      </c>
      <c r="F329" s="63">
        <f t="shared" si="17"/>
        <v>46</v>
      </c>
    </row>
    <row r="330" spans="1:7" x14ac:dyDescent="0.4">
      <c r="A330" s="6" t="s">
        <v>673</v>
      </c>
      <c r="B330" s="8">
        <v>14</v>
      </c>
      <c r="C330" s="6" t="s">
        <v>28</v>
      </c>
      <c r="D330" s="73">
        <v>25</v>
      </c>
      <c r="E330" s="65">
        <f t="shared" si="16"/>
        <v>28.883495145631066</v>
      </c>
      <c r="F330" s="63">
        <f t="shared" si="17"/>
        <v>29</v>
      </c>
    </row>
    <row r="331" spans="1:7" s="3" customFormat="1" x14ac:dyDescent="0.4">
      <c r="A331" s="6" t="s">
        <v>674</v>
      </c>
      <c r="B331" s="8" t="s">
        <v>1667</v>
      </c>
      <c r="C331" s="6" t="s">
        <v>675</v>
      </c>
      <c r="D331" s="73">
        <v>10</v>
      </c>
      <c r="E331" s="65">
        <f t="shared" si="16"/>
        <v>11.553398058252426</v>
      </c>
      <c r="F331" s="63">
        <f t="shared" si="17"/>
        <v>12</v>
      </c>
      <c r="G331" s="62"/>
    </row>
    <row r="332" spans="1:7" x14ac:dyDescent="0.4">
      <c r="A332" s="6" t="s">
        <v>676</v>
      </c>
      <c r="B332" s="8">
        <v>10</v>
      </c>
      <c r="C332" s="6" t="s">
        <v>677</v>
      </c>
      <c r="D332" s="73">
        <v>10</v>
      </c>
      <c r="E332" s="65">
        <f t="shared" si="16"/>
        <v>11.553398058252426</v>
      </c>
      <c r="F332" s="63">
        <f t="shared" si="17"/>
        <v>12</v>
      </c>
    </row>
    <row r="333" spans="1:7" x14ac:dyDescent="0.4">
      <c r="A333" s="6" t="s">
        <v>1100</v>
      </c>
      <c r="B333" s="7">
        <v>50</v>
      </c>
      <c r="C333" s="6"/>
      <c r="D333" s="73">
        <v>145</v>
      </c>
      <c r="E333" s="65">
        <f t="shared" si="16"/>
        <v>167.52427184466018</v>
      </c>
      <c r="F333" s="63">
        <f t="shared" si="17"/>
        <v>168</v>
      </c>
    </row>
    <row r="334" spans="1:7" x14ac:dyDescent="0.4">
      <c r="A334" s="6" t="s">
        <v>1048</v>
      </c>
      <c r="B334" s="8">
        <v>50</v>
      </c>
      <c r="C334" s="6"/>
      <c r="D334" s="73">
        <v>105</v>
      </c>
      <c r="E334" s="65">
        <f t="shared" si="16"/>
        <v>121.31067961165049</v>
      </c>
      <c r="F334" s="63">
        <f t="shared" si="17"/>
        <v>121</v>
      </c>
    </row>
    <row r="335" spans="1:7" x14ac:dyDescent="0.4">
      <c r="A335" s="6" t="s">
        <v>969</v>
      </c>
      <c r="B335" s="8" t="s">
        <v>1667</v>
      </c>
      <c r="C335" s="6"/>
      <c r="D335" s="73">
        <v>105</v>
      </c>
      <c r="E335" s="65">
        <f t="shared" si="16"/>
        <v>121.31067961165049</v>
      </c>
      <c r="F335" s="63">
        <f t="shared" si="17"/>
        <v>121</v>
      </c>
    </row>
    <row r="336" spans="1:7" x14ac:dyDescent="0.4">
      <c r="A336" s="6" t="s">
        <v>974</v>
      </c>
      <c r="B336" s="8">
        <v>33</v>
      </c>
      <c r="C336" s="6" t="s">
        <v>935</v>
      </c>
      <c r="D336" s="73">
        <v>105</v>
      </c>
      <c r="E336" s="65">
        <f t="shared" si="16"/>
        <v>121.31067961165049</v>
      </c>
      <c r="F336" s="63">
        <f t="shared" si="17"/>
        <v>121</v>
      </c>
    </row>
    <row r="337" spans="1:6" x14ac:dyDescent="0.4">
      <c r="A337" s="6" t="s">
        <v>973</v>
      </c>
      <c r="B337" s="7">
        <v>50</v>
      </c>
      <c r="C337" s="6" t="s">
        <v>935</v>
      </c>
      <c r="D337" s="73">
        <v>126</v>
      </c>
      <c r="E337" s="65">
        <f t="shared" si="16"/>
        <v>145.57281553398059</v>
      </c>
      <c r="F337" s="63">
        <f t="shared" si="17"/>
        <v>146</v>
      </c>
    </row>
    <row r="338" spans="1:6" x14ac:dyDescent="0.4">
      <c r="A338" s="6" t="s">
        <v>1101</v>
      </c>
      <c r="B338" s="7">
        <v>50</v>
      </c>
      <c r="C338" s="6"/>
      <c r="D338" s="73">
        <v>160</v>
      </c>
      <c r="E338" s="65">
        <f t="shared" si="16"/>
        <v>184.85436893203882</v>
      </c>
      <c r="F338" s="63">
        <f t="shared" si="17"/>
        <v>185</v>
      </c>
    </row>
    <row r="339" spans="1:6" x14ac:dyDescent="0.4">
      <c r="A339" s="6" t="s">
        <v>972</v>
      </c>
      <c r="B339" s="8">
        <v>33</v>
      </c>
      <c r="C339" s="6" t="s">
        <v>935</v>
      </c>
      <c r="D339" s="73">
        <v>160</v>
      </c>
      <c r="E339" s="65">
        <f t="shared" si="16"/>
        <v>184.85436893203882</v>
      </c>
      <c r="F339" s="63">
        <f t="shared" si="17"/>
        <v>185</v>
      </c>
    </row>
    <row r="340" spans="1:6" x14ac:dyDescent="0.4">
      <c r="A340" s="6" t="s">
        <v>970</v>
      </c>
      <c r="B340" s="8">
        <v>81</v>
      </c>
      <c r="C340" s="6"/>
      <c r="D340" s="73">
        <v>140</v>
      </c>
      <c r="E340" s="65">
        <f t="shared" si="16"/>
        <v>161.74757281553397</v>
      </c>
      <c r="F340" s="63">
        <f t="shared" si="17"/>
        <v>162</v>
      </c>
    </row>
    <row r="341" spans="1:6" x14ac:dyDescent="0.4">
      <c r="A341" s="6" t="s">
        <v>971</v>
      </c>
      <c r="B341" s="8">
        <v>32</v>
      </c>
      <c r="C341" s="6" t="s">
        <v>121</v>
      </c>
      <c r="D341" s="73">
        <v>105</v>
      </c>
      <c r="E341" s="65">
        <f t="shared" si="16"/>
        <v>121.31067961165049</v>
      </c>
      <c r="F341" s="63">
        <f t="shared" si="17"/>
        <v>121</v>
      </c>
    </row>
    <row r="342" spans="1:6" x14ac:dyDescent="0.4">
      <c r="A342" s="6" t="s">
        <v>1102</v>
      </c>
      <c r="B342" s="7">
        <v>17</v>
      </c>
      <c r="C342" s="6" t="s">
        <v>935</v>
      </c>
      <c r="D342" s="73">
        <v>85</v>
      </c>
      <c r="E342" s="65">
        <f t="shared" si="16"/>
        <v>98.203883495145618</v>
      </c>
      <c r="F342" s="63">
        <f t="shared" si="17"/>
        <v>98</v>
      </c>
    </row>
    <row r="343" spans="1:6" x14ac:dyDescent="0.4">
      <c r="A343" s="6" t="s">
        <v>1103</v>
      </c>
      <c r="B343" s="7">
        <v>17</v>
      </c>
      <c r="C343" s="6" t="s">
        <v>935</v>
      </c>
      <c r="D343" s="73">
        <v>75</v>
      </c>
      <c r="E343" s="65">
        <f t="shared" si="16"/>
        <v>86.650485436893206</v>
      </c>
      <c r="F343" s="63">
        <f t="shared" si="17"/>
        <v>87</v>
      </c>
    </row>
    <row r="344" spans="1:6" x14ac:dyDescent="0.4">
      <c r="A344" s="6" t="s">
        <v>666</v>
      </c>
      <c r="B344" s="8">
        <v>18</v>
      </c>
      <c r="C344" s="6" t="s">
        <v>667</v>
      </c>
      <c r="D344" s="73">
        <v>2</v>
      </c>
      <c r="E344" s="65">
        <f t="shared" si="16"/>
        <v>2.3106796116504853</v>
      </c>
      <c r="F344" s="63">
        <f t="shared" si="17"/>
        <v>2</v>
      </c>
    </row>
    <row r="345" spans="1:6" x14ac:dyDescent="0.4">
      <c r="A345" s="6" t="s">
        <v>123</v>
      </c>
      <c r="B345" s="8">
        <v>35</v>
      </c>
      <c r="C345" s="6" t="s">
        <v>124</v>
      </c>
      <c r="D345" s="73">
        <v>5</v>
      </c>
      <c r="E345" s="65">
        <f t="shared" si="16"/>
        <v>5.7766990291262132</v>
      </c>
      <c r="F345" s="63">
        <f t="shared" si="17"/>
        <v>6</v>
      </c>
    </row>
    <row r="346" spans="1:6" x14ac:dyDescent="0.4">
      <c r="A346" s="6" t="s">
        <v>1615</v>
      </c>
      <c r="B346" s="7">
        <v>49</v>
      </c>
      <c r="C346" s="6"/>
      <c r="D346" s="73">
        <v>15</v>
      </c>
      <c r="E346" s="65">
        <f t="shared" si="16"/>
        <v>17.33009708737864</v>
      </c>
      <c r="F346" s="63">
        <f t="shared" si="17"/>
        <v>17</v>
      </c>
    </row>
    <row r="347" spans="1:6" x14ac:dyDescent="0.4">
      <c r="A347" s="6" t="s">
        <v>512</v>
      </c>
      <c r="B347" s="7">
        <v>119</v>
      </c>
      <c r="C347" s="6"/>
      <c r="D347" s="73">
        <v>35</v>
      </c>
      <c r="E347" s="65">
        <f t="shared" si="16"/>
        <v>40.436893203883493</v>
      </c>
      <c r="F347" s="63">
        <f t="shared" si="17"/>
        <v>40</v>
      </c>
    </row>
    <row r="348" spans="1:6" x14ac:dyDescent="0.4">
      <c r="A348" s="6" t="s">
        <v>990</v>
      </c>
      <c r="B348" s="8">
        <v>119</v>
      </c>
      <c r="C348" s="6"/>
      <c r="D348" s="73">
        <v>12</v>
      </c>
      <c r="E348" s="65">
        <f t="shared" si="16"/>
        <v>13.864077669902912</v>
      </c>
      <c r="F348" s="63">
        <f t="shared" si="17"/>
        <v>14</v>
      </c>
    </row>
    <row r="349" spans="1:6" x14ac:dyDescent="0.4">
      <c r="A349" s="6" t="s">
        <v>46</v>
      </c>
      <c r="B349" s="8">
        <v>49</v>
      </c>
      <c r="C349" s="6"/>
      <c r="D349" s="73">
        <v>11.5</v>
      </c>
      <c r="E349" s="65">
        <f t="shared" si="16"/>
        <v>13.28640776699029</v>
      </c>
      <c r="F349" s="63">
        <f t="shared" si="17"/>
        <v>13</v>
      </c>
    </row>
    <row r="350" spans="1:6" x14ac:dyDescent="0.4">
      <c r="A350" s="6" t="s">
        <v>1145</v>
      </c>
      <c r="B350" s="7">
        <v>130</v>
      </c>
      <c r="C350" s="6"/>
      <c r="D350" s="73">
        <v>12</v>
      </c>
      <c r="E350" s="65">
        <f t="shared" si="16"/>
        <v>13.864077669902912</v>
      </c>
      <c r="F350" s="63">
        <f t="shared" si="17"/>
        <v>14</v>
      </c>
    </row>
    <row r="351" spans="1:6" x14ac:dyDescent="0.4">
      <c r="A351" s="6" t="s">
        <v>1096</v>
      </c>
      <c r="B351" s="7">
        <v>96</v>
      </c>
      <c r="C351" s="6" t="s">
        <v>1097</v>
      </c>
      <c r="D351" s="73">
        <v>8</v>
      </c>
      <c r="E351" s="65">
        <f t="shared" si="16"/>
        <v>9.2427184466019412</v>
      </c>
      <c r="F351" s="63">
        <f t="shared" si="17"/>
        <v>9</v>
      </c>
    </row>
    <row r="352" spans="1:6" x14ac:dyDescent="0.4">
      <c r="A352" s="6" t="s">
        <v>1083</v>
      </c>
      <c r="B352" s="7">
        <v>135</v>
      </c>
      <c r="C352" s="6"/>
      <c r="D352" s="73">
        <v>8</v>
      </c>
      <c r="E352" s="65">
        <f t="shared" si="16"/>
        <v>9.2427184466019412</v>
      </c>
      <c r="F352" s="63">
        <f t="shared" si="17"/>
        <v>9</v>
      </c>
    </row>
    <row r="353" spans="1:6" x14ac:dyDescent="0.4">
      <c r="A353" s="6" t="s">
        <v>959</v>
      </c>
      <c r="B353" s="7">
        <v>65</v>
      </c>
      <c r="C353" s="6"/>
      <c r="D353" s="73">
        <v>10</v>
      </c>
      <c r="E353" s="65">
        <f t="shared" si="16"/>
        <v>11.553398058252426</v>
      </c>
      <c r="F353" s="63">
        <f t="shared" si="17"/>
        <v>12</v>
      </c>
    </row>
    <row r="354" spans="1:6" x14ac:dyDescent="0.4">
      <c r="A354" s="6" t="s">
        <v>122</v>
      </c>
      <c r="B354" s="8">
        <v>35</v>
      </c>
      <c r="C354" s="6"/>
      <c r="D354" s="73">
        <v>2</v>
      </c>
      <c r="E354" s="65">
        <f t="shared" si="16"/>
        <v>2.3106796116504853</v>
      </c>
      <c r="F354" s="63">
        <f t="shared" si="17"/>
        <v>2</v>
      </c>
    </row>
    <row r="355" spans="1:6" x14ac:dyDescent="0.4">
      <c r="A355" s="6" t="s">
        <v>1115</v>
      </c>
      <c r="B355" s="7">
        <v>130</v>
      </c>
      <c r="C355" s="6"/>
      <c r="D355" s="73">
        <v>70</v>
      </c>
      <c r="E355" s="65">
        <f t="shared" si="16"/>
        <v>80.873786407766985</v>
      </c>
      <c r="F355" s="63">
        <f t="shared" si="17"/>
        <v>81</v>
      </c>
    </row>
    <row r="356" spans="1:6" x14ac:dyDescent="0.4">
      <c r="A356" s="6" t="s">
        <v>1604</v>
      </c>
      <c r="B356" s="7">
        <v>68</v>
      </c>
      <c r="C356" s="6" t="s">
        <v>1605</v>
      </c>
      <c r="D356" s="73">
        <v>1</v>
      </c>
      <c r="E356" s="65">
        <f t="shared" si="16"/>
        <v>1.1553398058252426</v>
      </c>
      <c r="F356" s="63">
        <f t="shared" si="17"/>
        <v>1</v>
      </c>
    </row>
    <row r="357" spans="1:6" x14ac:dyDescent="0.4">
      <c r="A357" s="9" t="s">
        <v>287</v>
      </c>
      <c r="B357" s="10">
        <v>72</v>
      </c>
      <c r="C357" s="9"/>
      <c r="D357" s="73">
        <v>10</v>
      </c>
      <c r="E357" s="65">
        <f t="shared" si="16"/>
        <v>11.553398058252426</v>
      </c>
      <c r="F357" s="63">
        <f t="shared" si="17"/>
        <v>12</v>
      </c>
    </row>
    <row r="358" spans="1:6" x14ac:dyDescent="0.4">
      <c r="A358" s="6" t="s">
        <v>285</v>
      </c>
      <c r="B358" s="8">
        <v>72</v>
      </c>
      <c r="C358" s="6"/>
      <c r="D358" s="73">
        <v>10</v>
      </c>
      <c r="E358" s="65">
        <f t="shared" si="16"/>
        <v>11.553398058252426</v>
      </c>
      <c r="F358" s="63">
        <f t="shared" si="17"/>
        <v>12</v>
      </c>
    </row>
    <row r="359" spans="1:6" x14ac:dyDescent="0.4">
      <c r="A359" s="6" t="s">
        <v>286</v>
      </c>
      <c r="B359" s="8">
        <v>72</v>
      </c>
      <c r="C359" s="6"/>
      <c r="D359" s="73">
        <v>25</v>
      </c>
      <c r="E359" s="65">
        <f t="shared" ref="E359:E422" si="18">D359/10.3*G$2</f>
        <v>28.883495145631066</v>
      </c>
      <c r="F359" s="63">
        <f t="shared" si="17"/>
        <v>29</v>
      </c>
    </row>
    <row r="360" spans="1:6" x14ac:dyDescent="0.4">
      <c r="A360" s="6" t="s">
        <v>964</v>
      </c>
      <c r="B360" s="7">
        <v>87</v>
      </c>
      <c r="C360" s="6"/>
      <c r="D360" s="73">
        <v>20</v>
      </c>
      <c r="E360" s="65">
        <f t="shared" si="18"/>
        <v>23.106796116504853</v>
      </c>
      <c r="F360" s="63">
        <f t="shared" si="17"/>
        <v>23</v>
      </c>
    </row>
    <row r="361" spans="1:6" x14ac:dyDescent="0.4">
      <c r="A361" s="6" t="s">
        <v>293</v>
      </c>
      <c r="B361" s="8">
        <v>73</v>
      </c>
      <c r="C361" s="6"/>
      <c r="D361" s="73">
        <v>5</v>
      </c>
      <c r="E361" s="65">
        <f t="shared" si="18"/>
        <v>5.7766990291262132</v>
      </c>
      <c r="F361" s="63">
        <f t="shared" si="17"/>
        <v>6</v>
      </c>
    </row>
    <row r="362" spans="1:6" x14ac:dyDescent="0.4">
      <c r="A362" s="9" t="s">
        <v>292</v>
      </c>
      <c r="B362" s="10">
        <v>73</v>
      </c>
      <c r="C362" s="9" t="s">
        <v>294</v>
      </c>
      <c r="D362" s="73">
        <v>5</v>
      </c>
      <c r="E362" s="65">
        <f t="shared" si="18"/>
        <v>5.7766990291262132</v>
      </c>
      <c r="F362" s="63">
        <f t="shared" si="17"/>
        <v>6</v>
      </c>
    </row>
    <row r="363" spans="1:6" x14ac:dyDescent="0.4">
      <c r="A363" s="6" t="s">
        <v>1036</v>
      </c>
      <c r="B363" s="8">
        <v>82</v>
      </c>
      <c r="C363" s="6"/>
      <c r="D363" s="73">
        <v>5</v>
      </c>
      <c r="E363" s="65">
        <f t="shared" si="18"/>
        <v>5.7766990291262132</v>
      </c>
      <c r="F363" s="63">
        <f t="shared" si="17"/>
        <v>6</v>
      </c>
    </row>
    <row r="364" spans="1:6" x14ac:dyDescent="0.4">
      <c r="A364" s="6" t="s">
        <v>1113</v>
      </c>
      <c r="B364" s="7" t="s">
        <v>1114</v>
      </c>
      <c r="C364" s="6" t="s">
        <v>1120</v>
      </c>
      <c r="D364" s="73">
        <v>95</v>
      </c>
      <c r="E364" s="65">
        <f t="shared" si="18"/>
        <v>109.75728155339804</v>
      </c>
      <c r="F364" s="63">
        <f t="shared" si="17"/>
        <v>110</v>
      </c>
    </row>
    <row r="365" spans="1:6" x14ac:dyDescent="0.4">
      <c r="A365" s="6" t="s">
        <v>463</v>
      </c>
      <c r="B365" s="7">
        <v>111</v>
      </c>
      <c r="C365" s="6"/>
      <c r="D365" s="73">
        <v>5</v>
      </c>
      <c r="E365" s="65">
        <f t="shared" si="18"/>
        <v>5.7766990291262132</v>
      </c>
      <c r="F365" s="63">
        <f t="shared" si="17"/>
        <v>6</v>
      </c>
    </row>
    <row r="366" spans="1:6" x14ac:dyDescent="0.4">
      <c r="A366" s="6" t="s">
        <v>391</v>
      </c>
      <c r="B366" s="7">
        <v>98</v>
      </c>
      <c r="C366" s="6"/>
      <c r="D366" s="73">
        <v>7</v>
      </c>
      <c r="E366" s="65">
        <f t="shared" si="18"/>
        <v>8.0873786407766985</v>
      </c>
      <c r="F366" s="63">
        <f t="shared" si="17"/>
        <v>8</v>
      </c>
    </row>
    <row r="367" spans="1:6" x14ac:dyDescent="0.4">
      <c r="A367" s="6" t="s">
        <v>1606</v>
      </c>
      <c r="B367" s="7">
        <v>98</v>
      </c>
      <c r="C367" s="6"/>
      <c r="D367" s="73">
        <v>7</v>
      </c>
      <c r="E367" s="65">
        <f t="shared" si="18"/>
        <v>8.0873786407766985</v>
      </c>
      <c r="F367" s="63">
        <f t="shared" si="17"/>
        <v>8</v>
      </c>
    </row>
    <row r="368" spans="1:6" x14ac:dyDescent="0.4">
      <c r="A368" s="6" t="s">
        <v>132</v>
      </c>
      <c r="B368" s="8">
        <v>37</v>
      </c>
      <c r="C368" s="6" t="s">
        <v>133</v>
      </c>
      <c r="D368" s="73">
        <v>20</v>
      </c>
      <c r="E368" s="65">
        <f t="shared" si="18"/>
        <v>23.106796116504853</v>
      </c>
      <c r="F368" s="63">
        <f t="shared" si="17"/>
        <v>23</v>
      </c>
    </row>
    <row r="369" spans="1:7" x14ac:dyDescent="0.4">
      <c r="A369" s="6" t="s">
        <v>1609</v>
      </c>
      <c r="B369" s="7">
        <v>25</v>
      </c>
      <c r="C369" s="6" t="s">
        <v>1608</v>
      </c>
      <c r="D369" s="73">
        <v>20</v>
      </c>
      <c r="E369" s="65">
        <f t="shared" si="18"/>
        <v>23.106796116504853</v>
      </c>
      <c r="F369" s="63">
        <f t="shared" si="17"/>
        <v>23</v>
      </c>
    </row>
    <row r="370" spans="1:7" x14ac:dyDescent="0.4">
      <c r="A370" s="6" t="s">
        <v>41</v>
      </c>
      <c r="B370" s="8">
        <v>26</v>
      </c>
      <c r="C370" s="6" t="s">
        <v>42</v>
      </c>
      <c r="D370" s="73">
        <v>0</v>
      </c>
      <c r="E370" s="65">
        <f t="shared" si="18"/>
        <v>0</v>
      </c>
      <c r="F370" s="63">
        <v>20</v>
      </c>
    </row>
    <row r="371" spans="1:7" x14ac:dyDescent="0.4">
      <c r="A371" s="6" t="s">
        <v>51</v>
      </c>
      <c r="B371" s="8">
        <v>22</v>
      </c>
      <c r="C371" s="6"/>
      <c r="D371" s="73">
        <v>15</v>
      </c>
      <c r="E371" s="65">
        <f t="shared" si="18"/>
        <v>17.33009708737864</v>
      </c>
      <c r="F371" s="63">
        <f t="shared" si="17"/>
        <v>17</v>
      </c>
    </row>
    <row r="372" spans="1:7" x14ac:dyDescent="0.4">
      <c r="A372" s="6" t="s">
        <v>574</v>
      </c>
      <c r="B372" s="7" t="s">
        <v>1667</v>
      </c>
      <c r="C372" s="6"/>
      <c r="D372" s="73">
        <v>10</v>
      </c>
      <c r="E372" s="65">
        <f t="shared" si="18"/>
        <v>11.553398058252426</v>
      </c>
      <c r="F372" s="63">
        <f t="shared" si="17"/>
        <v>12</v>
      </c>
    </row>
    <row r="373" spans="1:7" x14ac:dyDescent="0.4">
      <c r="A373" s="6" t="s">
        <v>1621</v>
      </c>
      <c r="B373" s="6" t="s">
        <v>1585</v>
      </c>
      <c r="C373" s="6"/>
      <c r="D373" s="73">
        <v>4.5</v>
      </c>
      <c r="E373" s="65">
        <f t="shared" si="18"/>
        <v>5.1990291262135919</v>
      </c>
      <c r="F373" s="63">
        <f t="shared" si="17"/>
        <v>5</v>
      </c>
    </row>
    <row r="374" spans="1:7" s="3" customFormat="1" x14ac:dyDescent="0.4">
      <c r="A374" s="6" t="s">
        <v>460</v>
      </c>
      <c r="B374" s="7">
        <v>111</v>
      </c>
      <c r="C374" s="6"/>
      <c r="D374" s="73">
        <v>5</v>
      </c>
      <c r="E374" s="65">
        <f t="shared" si="18"/>
        <v>5.7766990291262132</v>
      </c>
      <c r="F374" s="63">
        <f t="shared" si="17"/>
        <v>6</v>
      </c>
      <c r="G374" s="62"/>
    </row>
    <row r="375" spans="1:7" x14ac:dyDescent="0.4">
      <c r="A375" s="6" t="s">
        <v>1622</v>
      </c>
      <c r="B375" s="6" t="s">
        <v>1585</v>
      </c>
      <c r="C375" s="6"/>
      <c r="D375" s="73">
        <v>4.5</v>
      </c>
      <c r="E375" s="65">
        <f t="shared" si="18"/>
        <v>5.1990291262135919</v>
      </c>
      <c r="F375" s="63">
        <f t="shared" si="17"/>
        <v>5</v>
      </c>
    </row>
    <row r="376" spans="1:7" x14ac:dyDescent="0.4">
      <c r="A376" s="6" t="s">
        <v>178</v>
      </c>
      <c r="B376" s="8">
        <v>42</v>
      </c>
      <c r="C376" s="6"/>
      <c r="D376" s="73">
        <v>10</v>
      </c>
      <c r="E376" s="65">
        <f t="shared" si="18"/>
        <v>11.553398058252426</v>
      </c>
      <c r="F376" s="63">
        <f t="shared" si="17"/>
        <v>12</v>
      </c>
    </row>
    <row r="377" spans="1:7" x14ac:dyDescent="0.4">
      <c r="A377" s="6" t="s">
        <v>176</v>
      </c>
      <c r="B377" s="8">
        <v>42</v>
      </c>
      <c r="C377" s="6"/>
      <c r="D377" s="73">
        <v>10</v>
      </c>
      <c r="E377" s="65">
        <f t="shared" si="18"/>
        <v>11.553398058252426</v>
      </c>
      <c r="F377" s="63">
        <f t="shared" si="17"/>
        <v>12</v>
      </c>
    </row>
    <row r="378" spans="1:7" x14ac:dyDescent="0.4">
      <c r="A378" s="6" t="s">
        <v>1088</v>
      </c>
      <c r="B378" s="8">
        <v>26</v>
      </c>
      <c r="C378" s="6"/>
      <c r="D378" s="73">
        <v>12</v>
      </c>
      <c r="E378" s="65">
        <f t="shared" si="18"/>
        <v>13.864077669902912</v>
      </c>
      <c r="F378" s="63">
        <f t="shared" si="17"/>
        <v>14</v>
      </c>
    </row>
    <row r="379" spans="1:7" x14ac:dyDescent="0.4">
      <c r="A379" s="6" t="s">
        <v>74</v>
      </c>
      <c r="B379" s="8">
        <v>26</v>
      </c>
      <c r="C379" s="6"/>
      <c r="D379" s="73">
        <v>12</v>
      </c>
      <c r="E379" s="65">
        <f t="shared" si="18"/>
        <v>13.864077669902912</v>
      </c>
      <c r="F379" s="63">
        <f t="shared" si="17"/>
        <v>14</v>
      </c>
    </row>
    <row r="380" spans="1:7" x14ac:dyDescent="0.4">
      <c r="A380" s="6" t="s">
        <v>73</v>
      </c>
      <c r="B380" s="8">
        <v>26</v>
      </c>
      <c r="C380" s="6"/>
      <c r="D380" s="73">
        <v>12</v>
      </c>
      <c r="E380" s="65">
        <f t="shared" si="18"/>
        <v>13.864077669902912</v>
      </c>
      <c r="F380" s="63">
        <f t="shared" si="17"/>
        <v>14</v>
      </c>
    </row>
    <row r="381" spans="1:7" x14ac:dyDescent="0.4">
      <c r="A381" s="6" t="s">
        <v>75</v>
      </c>
      <c r="B381" s="8">
        <v>26</v>
      </c>
      <c r="C381" s="6"/>
      <c r="D381" s="73">
        <v>12</v>
      </c>
      <c r="E381" s="65">
        <f t="shared" si="18"/>
        <v>13.864077669902912</v>
      </c>
      <c r="F381" s="63">
        <f t="shared" si="17"/>
        <v>14</v>
      </c>
    </row>
    <row r="382" spans="1:7" x14ac:dyDescent="0.4">
      <c r="A382" s="6" t="s">
        <v>76</v>
      </c>
      <c r="B382" s="8">
        <v>26</v>
      </c>
      <c r="C382" s="6"/>
      <c r="D382" s="73">
        <v>12</v>
      </c>
      <c r="E382" s="65">
        <f t="shared" si="18"/>
        <v>13.864077669902912</v>
      </c>
      <c r="F382" s="63">
        <f t="shared" si="17"/>
        <v>14</v>
      </c>
    </row>
    <row r="383" spans="1:7" x14ac:dyDescent="0.4">
      <c r="A383" s="6" t="s">
        <v>360</v>
      </c>
      <c r="B383" s="8">
        <v>91</v>
      </c>
      <c r="C383" s="6"/>
      <c r="D383" s="73">
        <v>10</v>
      </c>
      <c r="E383" s="65">
        <f t="shared" si="18"/>
        <v>11.553398058252426</v>
      </c>
      <c r="F383" s="63">
        <f t="shared" si="17"/>
        <v>12</v>
      </c>
    </row>
    <row r="384" spans="1:7" x14ac:dyDescent="0.4">
      <c r="A384" s="6" t="s">
        <v>361</v>
      </c>
      <c r="B384" s="8">
        <v>91</v>
      </c>
      <c r="C384" s="6"/>
      <c r="D384" s="73">
        <v>10</v>
      </c>
      <c r="E384" s="65">
        <f t="shared" si="18"/>
        <v>11.553398058252426</v>
      </c>
      <c r="F384" s="63">
        <f t="shared" si="17"/>
        <v>12</v>
      </c>
    </row>
    <row r="385" spans="1:6" x14ac:dyDescent="0.4">
      <c r="A385" s="6" t="s">
        <v>960</v>
      </c>
      <c r="B385" s="7">
        <v>111</v>
      </c>
      <c r="C385" s="6" t="s">
        <v>961</v>
      </c>
      <c r="D385" s="73">
        <v>5</v>
      </c>
      <c r="E385" s="65">
        <f t="shared" si="18"/>
        <v>5.7766990291262132</v>
      </c>
      <c r="F385" s="63">
        <f t="shared" si="17"/>
        <v>6</v>
      </c>
    </row>
    <row r="386" spans="1:6" x14ac:dyDescent="0.4">
      <c r="A386" s="6" t="s">
        <v>130</v>
      </c>
      <c r="B386" s="8">
        <v>36</v>
      </c>
      <c r="C386" s="6"/>
      <c r="D386" s="73">
        <v>3</v>
      </c>
      <c r="E386" s="65">
        <f t="shared" si="18"/>
        <v>3.4660194174757279</v>
      </c>
      <c r="F386" s="63">
        <f t="shared" ref="F386:F449" si="19">ROUND(E386,0)</f>
        <v>3</v>
      </c>
    </row>
    <row r="387" spans="1:6" x14ac:dyDescent="0.4">
      <c r="A387" s="6" t="s">
        <v>131</v>
      </c>
      <c r="B387" s="8">
        <v>36</v>
      </c>
      <c r="C387" s="6"/>
      <c r="D387" s="73">
        <v>5</v>
      </c>
      <c r="E387" s="65">
        <f t="shared" si="18"/>
        <v>5.7766990291262132</v>
      </c>
      <c r="F387" s="63">
        <f t="shared" si="19"/>
        <v>6</v>
      </c>
    </row>
    <row r="388" spans="1:6" x14ac:dyDescent="0.4">
      <c r="A388" s="6" t="s">
        <v>664</v>
      </c>
      <c r="B388" s="8">
        <v>18</v>
      </c>
      <c r="C388" s="6" t="s">
        <v>665</v>
      </c>
      <c r="D388" s="73">
        <v>2</v>
      </c>
      <c r="E388" s="65">
        <f t="shared" si="18"/>
        <v>2.3106796116504853</v>
      </c>
      <c r="F388" s="63">
        <f t="shared" si="19"/>
        <v>2</v>
      </c>
    </row>
    <row r="389" spans="1:6" x14ac:dyDescent="0.4">
      <c r="A389" s="6" t="s">
        <v>1081</v>
      </c>
      <c r="B389" s="7">
        <v>111</v>
      </c>
      <c r="C389" s="6" t="s">
        <v>961</v>
      </c>
      <c r="D389" s="73">
        <v>8.5</v>
      </c>
      <c r="E389" s="65">
        <f t="shared" si="18"/>
        <v>9.8203883495145625</v>
      </c>
      <c r="F389" s="63">
        <f t="shared" si="19"/>
        <v>10</v>
      </c>
    </row>
    <row r="390" spans="1:6" x14ac:dyDescent="0.4">
      <c r="A390" s="6" t="s">
        <v>452</v>
      </c>
      <c r="B390" s="7">
        <v>109</v>
      </c>
      <c r="C390" s="6"/>
      <c r="D390" s="73">
        <v>5</v>
      </c>
      <c r="E390" s="65">
        <f t="shared" si="18"/>
        <v>5.7766990291262132</v>
      </c>
      <c r="F390" s="63">
        <f t="shared" si="19"/>
        <v>6</v>
      </c>
    </row>
    <row r="391" spans="1:6" x14ac:dyDescent="0.4">
      <c r="A391" s="6" t="s">
        <v>451</v>
      </c>
      <c r="B391" s="7">
        <v>109</v>
      </c>
      <c r="C391" s="6"/>
      <c r="D391" s="73">
        <v>5</v>
      </c>
      <c r="E391" s="65">
        <f t="shared" si="18"/>
        <v>5.7766990291262132</v>
      </c>
      <c r="F391" s="63">
        <f t="shared" si="19"/>
        <v>6</v>
      </c>
    </row>
    <row r="392" spans="1:6" x14ac:dyDescent="0.4">
      <c r="A392" s="6" t="s">
        <v>449</v>
      </c>
      <c r="B392" s="7">
        <v>109</v>
      </c>
      <c r="C392" s="6"/>
      <c r="D392" s="73">
        <v>7</v>
      </c>
      <c r="E392" s="65">
        <f t="shared" si="18"/>
        <v>8.0873786407766985</v>
      </c>
      <c r="F392" s="63">
        <f t="shared" si="19"/>
        <v>8</v>
      </c>
    </row>
    <row r="393" spans="1:6" x14ac:dyDescent="0.4">
      <c r="A393" s="11" t="s">
        <v>527</v>
      </c>
      <c r="B393" s="7">
        <v>126</v>
      </c>
      <c r="C393" s="11"/>
      <c r="D393" s="73">
        <v>15</v>
      </c>
      <c r="E393" s="65">
        <f t="shared" si="18"/>
        <v>17.33009708737864</v>
      </c>
      <c r="F393" s="63">
        <f t="shared" si="19"/>
        <v>17</v>
      </c>
    </row>
    <row r="394" spans="1:6" x14ac:dyDescent="0.4">
      <c r="A394" s="6" t="s">
        <v>592</v>
      </c>
      <c r="B394" s="7">
        <v>142</v>
      </c>
      <c r="C394" s="6"/>
      <c r="D394" s="73">
        <v>10</v>
      </c>
      <c r="E394" s="65">
        <f t="shared" si="18"/>
        <v>11.553398058252426</v>
      </c>
      <c r="F394" s="63">
        <f t="shared" si="19"/>
        <v>12</v>
      </c>
    </row>
    <row r="395" spans="1:6" x14ac:dyDescent="0.4">
      <c r="A395" s="6" t="s">
        <v>593</v>
      </c>
      <c r="B395" s="7">
        <v>142</v>
      </c>
      <c r="C395" s="6"/>
      <c r="D395" s="73">
        <v>10</v>
      </c>
      <c r="E395" s="65">
        <f t="shared" si="18"/>
        <v>11.553398058252426</v>
      </c>
      <c r="F395" s="63">
        <f t="shared" si="19"/>
        <v>12</v>
      </c>
    </row>
    <row r="396" spans="1:6" x14ac:dyDescent="0.4">
      <c r="A396" s="9" t="s">
        <v>596</v>
      </c>
      <c r="B396" s="10">
        <v>142</v>
      </c>
      <c r="C396" s="9" t="s">
        <v>597</v>
      </c>
      <c r="D396" s="73">
        <v>10</v>
      </c>
      <c r="E396" s="65">
        <f t="shared" si="18"/>
        <v>11.553398058252426</v>
      </c>
      <c r="F396" s="63">
        <f t="shared" si="19"/>
        <v>12</v>
      </c>
    </row>
    <row r="397" spans="1:6" x14ac:dyDescent="0.4">
      <c r="A397" s="6" t="s">
        <v>594</v>
      </c>
      <c r="B397" s="7">
        <v>142</v>
      </c>
      <c r="C397" s="6"/>
      <c r="D397" s="73">
        <v>10</v>
      </c>
      <c r="E397" s="65">
        <f t="shared" si="18"/>
        <v>11.553398058252426</v>
      </c>
      <c r="F397" s="63">
        <f t="shared" si="19"/>
        <v>12</v>
      </c>
    </row>
    <row r="398" spans="1:6" x14ac:dyDescent="0.4">
      <c r="A398" s="6" t="s">
        <v>595</v>
      </c>
      <c r="B398" s="7">
        <v>142</v>
      </c>
      <c r="C398" s="6"/>
      <c r="D398" s="73">
        <v>10</v>
      </c>
      <c r="E398" s="65">
        <f t="shared" si="18"/>
        <v>11.553398058252426</v>
      </c>
      <c r="F398" s="63">
        <f t="shared" si="19"/>
        <v>12</v>
      </c>
    </row>
    <row r="399" spans="1:6" x14ac:dyDescent="0.4">
      <c r="A399" s="9" t="s">
        <v>591</v>
      </c>
      <c r="B399" s="10">
        <v>142</v>
      </c>
      <c r="C399" s="9"/>
      <c r="D399" s="73">
        <v>10</v>
      </c>
      <c r="E399" s="65">
        <f t="shared" si="18"/>
        <v>11.553398058252426</v>
      </c>
      <c r="F399" s="63">
        <f t="shared" si="19"/>
        <v>12</v>
      </c>
    </row>
    <row r="400" spans="1:6" x14ac:dyDescent="0.4">
      <c r="A400" s="6" t="s">
        <v>469</v>
      </c>
      <c r="B400" s="7">
        <v>121</v>
      </c>
      <c r="C400" s="6"/>
      <c r="D400" s="73">
        <v>5</v>
      </c>
      <c r="E400" s="65">
        <f t="shared" si="18"/>
        <v>5.7766990291262132</v>
      </c>
      <c r="F400" s="63">
        <f t="shared" si="19"/>
        <v>6</v>
      </c>
    </row>
    <row r="401" spans="1:7" x14ac:dyDescent="0.4">
      <c r="A401" s="6" t="s">
        <v>445</v>
      </c>
      <c r="B401" s="7">
        <v>109</v>
      </c>
      <c r="C401" s="6"/>
      <c r="D401" s="73">
        <v>6</v>
      </c>
      <c r="E401" s="65">
        <f t="shared" si="18"/>
        <v>6.9320388349514559</v>
      </c>
      <c r="F401" s="63">
        <v>9</v>
      </c>
    </row>
    <row r="402" spans="1:7" x14ac:dyDescent="0.4">
      <c r="A402" s="6" t="s">
        <v>518</v>
      </c>
      <c r="B402" s="7">
        <v>121</v>
      </c>
      <c r="C402" s="6"/>
      <c r="D402" s="73">
        <v>12</v>
      </c>
      <c r="E402" s="65">
        <f t="shared" si="18"/>
        <v>13.864077669902912</v>
      </c>
      <c r="F402" s="63">
        <f t="shared" si="19"/>
        <v>14</v>
      </c>
    </row>
    <row r="403" spans="1:7" x14ac:dyDescent="0.4">
      <c r="A403" s="6" t="s">
        <v>1051</v>
      </c>
      <c r="B403" s="7">
        <v>19</v>
      </c>
      <c r="C403" s="6"/>
      <c r="D403" s="73">
        <v>15</v>
      </c>
      <c r="E403" s="65">
        <f t="shared" si="18"/>
        <v>17.33009708737864</v>
      </c>
      <c r="F403" s="63">
        <f t="shared" si="19"/>
        <v>17</v>
      </c>
    </row>
    <row r="404" spans="1:7" x14ac:dyDescent="0.4">
      <c r="A404" s="6" t="s">
        <v>7</v>
      </c>
      <c r="B404" s="8">
        <v>11</v>
      </c>
      <c r="C404" s="6"/>
      <c r="D404" s="73">
        <v>12</v>
      </c>
      <c r="E404" s="65">
        <f t="shared" si="18"/>
        <v>13.864077669902912</v>
      </c>
      <c r="F404" s="63">
        <f t="shared" si="19"/>
        <v>14</v>
      </c>
    </row>
    <row r="405" spans="1:7" x14ac:dyDescent="0.4">
      <c r="A405" s="6" t="s">
        <v>368</v>
      </c>
      <c r="B405" s="8">
        <v>92</v>
      </c>
      <c r="C405" s="6"/>
      <c r="D405" s="73">
        <v>5</v>
      </c>
      <c r="E405" s="65">
        <f t="shared" si="18"/>
        <v>5.7766990291262132</v>
      </c>
      <c r="F405" s="63">
        <f t="shared" si="19"/>
        <v>6</v>
      </c>
    </row>
    <row r="406" spans="1:7" x14ac:dyDescent="0.4">
      <c r="A406" s="6" t="s">
        <v>546</v>
      </c>
      <c r="B406" s="7">
        <v>131</v>
      </c>
      <c r="C406" s="6"/>
      <c r="D406" s="73">
        <v>25</v>
      </c>
      <c r="E406" s="65">
        <f t="shared" si="18"/>
        <v>28.883495145631066</v>
      </c>
      <c r="F406" s="63">
        <f t="shared" si="19"/>
        <v>29</v>
      </c>
    </row>
    <row r="407" spans="1:7" x14ac:dyDescent="0.4">
      <c r="A407" s="6" t="s">
        <v>8</v>
      </c>
      <c r="B407" s="8">
        <v>11</v>
      </c>
      <c r="C407" s="6"/>
      <c r="D407" s="73">
        <v>8</v>
      </c>
      <c r="E407" s="65">
        <f t="shared" si="18"/>
        <v>9.2427184466019412</v>
      </c>
      <c r="F407" s="63">
        <f t="shared" si="19"/>
        <v>9</v>
      </c>
    </row>
    <row r="408" spans="1:7" x14ac:dyDescent="0.4">
      <c r="A408" s="6" t="s">
        <v>365</v>
      </c>
      <c r="B408" s="8">
        <v>92</v>
      </c>
      <c r="C408" s="6"/>
      <c r="D408" s="73">
        <v>5</v>
      </c>
      <c r="E408" s="65">
        <f t="shared" si="18"/>
        <v>5.7766990291262132</v>
      </c>
      <c r="F408" s="63">
        <f t="shared" si="19"/>
        <v>6</v>
      </c>
    </row>
    <row r="409" spans="1:7" s="3" customFormat="1" x14ac:dyDescent="0.4">
      <c r="A409" s="6" t="s">
        <v>937</v>
      </c>
      <c r="B409" s="7">
        <v>92</v>
      </c>
      <c r="C409" s="6"/>
      <c r="D409" s="73">
        <v>5</v>
      </c>
      <c r="E409" s="65">
        <f t="shared" si="18"/>
        <v>5.7766990291262132</v>
      </c>
      <c r="F409" s="63">
        <f t="shared" si="19"/>
        <v>6</v>
      </c>
      <c r="G409" s="62"/>
    </row>
    <row r="410" spans="1:7" x14ac:dyDescent="0.4">
      <c r="A410" s="6" t="s">
        <v>38</v>
      </c>
      <c r="B410" s="8">
        <v>19</v>
      </c>
      <c r="C410" s="6" t="s">
        <v>39</v>
      </c>
      <c r="D410" s="73">
        <v>15</v>
      </c>
      <c r="E410" s="65">
        <f t="shared" si="18"/>
        <v>17.33009708737864</v>
      </c>
      <c r="F410" s="63">
        <f t="shared" si="19"/>
        <v>17</v>
      </c>
    </row>
    <row r="411" spans="1:7" x14ac:dyDescent="0.4">
      <c r="A411" s="6" t="s">
        <v>38</v>
      </c>
      <c r="B411" s="7">
        <v>19</v>
      </c>
      <c r="C411" s="6" t="s">
        <v>1050</v>
      </c>
      <c r="D411" s="73">
        <v>15</v>
      </c>
      <c r="E411" s="65">
        <f t="shared" si="18"/>
        <v>17.33009708737864</v>
      </c>
      <c r="F411" s="63">
        <f t="shared" si="19"/>
        <v>17</v>
      </c>
    </row>
    <row r="412" spans="1:7" s="3" customFormat="1" x14ac:dyDescent="0.4">
      <c r="A412" s="6" t="s">
        <v>367</v>
      </c>
      <c r="B412" s="8">
        <v>92</v>
      </c>
      <c r="C412" s="6"/>
      <c r="D412" s="73">
        <v>7</v>
      </c>
      <c r="E412" s="65">
        <f t="shared" si="18"/>
        <v>8.0873786407766985</v>
      </c>
      <c r="F412" s="63">
        <f t="shared" si="19"/>
        <v>8</v>
      </c>
      <c r="G412" s="62"/>
    </row>
    <row r="413" spans="1:7" x14ac:dyDescent="0.4">
      <c r="A413" s="6" t="s">
        <v>115</v>
      </c>
      <c r="B413" s="8">
        <v>32</v>
      </c>
      <c r="C413" s="6" t="s">
        <v>116</v>
      </c>
      <c r="D413" s="73">
        <v>15</v>
      </c>
      <c r="E413" s="65">
        <f t="shared" si="18"/>
        <v>17.33009708737864</v>
      </c>
      <c r="F413" s="63">
        <f t="shared" si="19"/>
        <v>17</v>
      </c>
    </row>
    <row r="414" spans="1:7" x14ac:dyDescent="0.4">
      <c r="A414" s="6" t="s">
        <v>117</v>
      </c>
      <c r="B414" s="8" t="s">
        <v>1667</v>
      </c>
      <c r="C414" s="6" t="s">
        <v>116</v>
      </c>
      <c r="D414" s="73">
        <v>17</v>
      </c>
      <c r="E414" s="65">
        <f t="shared" si="18"/>
        <v>19.640776699029125</v>
      </c>
      <c r="F414" s="63">
        <f t="shared" si="19"/>
        <v>20</v>
      </c>
    </row>
    <row r="415" spans="1:7" x14ac:dyDescent="0.4">
      <c r="A415" s="6" t="s">
        <v>118</v>
      </c>
      <c r="B415" s="8">
        <v>32</v>
      </c>
      <c r="C415" s="6" t="s">
        <v>116</v>
      </c>
      <c r="D415" s="73">
        <v>20</v>
      </c>
      <c r="E415" s="65">
        <f t="shared" si="18"/>
        <v>23.106796116504853</v>
      </c>
      <c r="F415" s="63">
        <f t="shared" si="19"/>
        <v>23</v>
      </c>
    </row>
    <row r="416" spans="1:7" x14ac:dyDescent="0.4">
      <c r="A416" s="6" t="s">
        <v>366</v>
      </c>
      <c r="B416" s="8">
        <v>92</v>
      </c>
      <c r="C416" s="6"/>
      <c r="D416" s="73">
        <v>5</v>
      </c>
      <c r="E416" s="65">
        <f t="shared" si="18"/>
        <v>5.7766990291262132</v>
      </c>
      <c r="F416" s="63">
        <f t="shared" si="19"/>
        <v>6</v>
      </c>
    </row>
    <row r="417" spans="1:6" x14ac:dyDescent="0.4">
      <c r="A417" s="6" t="s">
        <v>953</v>
      </c>
      <c r="B417" s="7">
        <v>109</v>
      </c>
      <c r="C417" s="6" t="s">
        <v>1136</v>
      </c>
      <c r="D417" s="73">
        <v>10</v>
      </c>
      <c r="E417" s="65">
        <f t="shared" si="18"/>
        <v>11.553398058252426</v>
      </c>
      <c r="F417" s="63">
        <f t="shared" si="19"/>
        <v>12</v>
      </c>
    </row>
    <row r="418" spans="1:6" x14ac:dyDescent="0.4">
      <c r="A418" s="6" t="s">
        <v>446</v>
      </c>
      <c r="B418" s="7">
        <v>109</v>
      </c>
      <c r="C418" s="6"/>
      <c r="D418" s="73">
        <v>5</v>
      </c>
      <c r="E418" s="65">
        <f t="shared" si="18"/>
        <v>5.7766990291262132</v>
      </c>
      <c r="F418" s="63">
        <f t="shared" si="19"/>
        <v>6</v>
      </c>
    </row>
    <row r="419" spans="1:6" x14ac:dyDescent="0.4">
      <c r="A419" s="6" t="s">
        <v>141</v>
      </c>
      <c r="B419" s="8">
        <v>37</v>
      </c>
      <c r="C419" s="6" t="s">
        <v>133</v>
      </c>
      <c r="D419" s="73">
        <v>15</v>
      </c>
      <c r="E419" s="65">
        <f t="shared" si="18"/>
        <v>17.33009708737864</v>
      </c>
      <c r="F419" s="63">
        <f t="shared" si="19"/>
        <v>17</v>
      </c>
    </row>
    <row r="420" spans="1:6" x14ac:dyDescent="0.4">
      <c r="A420" s="6" t="s">
        <v>136</v>
      </c>
      <c r="B420" s="8">
        <v>37</v>
      </c>
      <c r="C420" s="6" t="s">
        <v>133</v>
      </c>
      <c r="D420" s="73">
        <v>15</v>
      </c>
      <c r="E420" s="65">
        <f t="shared" si="18"/>
        <v>17.33009708737864</v>
      </c>
      <c r="F420" s="63">
        <f t="shared" si="19"/>
        <v>17</v>
      </c>
    </row>
    <row r="421" spans="1:6" x14ac:dyDescent="0.4">
      <c r="A421" s="6" t="s">
        <v>139</v>
      </c>
      <c r="B421" s="8">
        <v>37</v>
      </c>
      <c r="C421" s="6" t="s">
        <v>133</v>
      </c>
      <c r="D421" s="73">
        <v>15</v>
      </c>
      <c r="E421" s="65">
        <f t="shared" si="18"/>
        <v>17.33009708737864</v>
      </c>
      <c r="F421" s="63">
        <f t="shared" si="19"/>
        <v>17</v>
      </c>
    </row>
    <row r="422" spans="1:6" x14ac:dyDescent="0.4">
      <c r="A422" s="6" t="s">
        <v>138</v>
      </c>
      <c r="B422" s="8">
        <v>37</v>
      </c>
      <c r="C422" s="6" t="s">
        <v>133</v>
      </c>
      <c r="D422" s="73">
        <v>15</v>
      </c>
      <c r="E422" s="65">
        <f t="shared" si="18"/>
        <v>17.33009708737864</v>
      </c>
      <c r="F422" s="63">
        <f t="shared" si="19"/>
        <v>17</v>
      </c>
    </row>
    <row r="423" spans="1:6" x14ac:dyDescent="0.4">
      <c r="A423" s="6" t="s">
        <v>137</v>
      </c>
      <c r="B423" s="8">
        <v>37</v>
      </c>
      <c r="C423" s="6" t="s">
        <v>133</v>
      </c>
      <c r="D423" s="73">
        <v>15</v>
      </c>
      <c r="E423" s="65">
        <f t="shared" ref="E423:E486" si="20">D423/10.3*G$2</f>
        <v>17.33009708737864</v>
      </c>
      <c r="F423" s="63">
        <f t="shared" si="19"/>
        <v>17</v>
      </c>
    </row>
    <row r="424" spans="1:6" x14ac:dyDescent="0.4">
      <c r="A424" s="6" t="s">
        <v>1093</v>
      </c>
      <c r="B424" s="7">
        <v>25</v>
      </c>
      <c r="C424" s="6"/>
      <c r="D424" s="73">
        <v>15</v>
      </c>
      <c r="E424" s="65">
        <f t="shared" si="20"/>
        <v>17.33009708737864</v>
      </c>
      <c r="F424" s="63">
        <f t="shared" si="19"/>
        <v>17</v>
      </c>
    </row>
    <row r="425" spans="1:6" x14ac:dyDescent="0.4">
      <c r="A425" s="6" t="s">
        <v>989</v>
      </c>
      <c r="B425" s="8">
        <v>65</v>
      </c>
      <c r="C425" s="6"/>
      <c r="D425" s="73">
        <v>15</v>
      </c>
      <c r="E425" s="65">
        <f t="shared" si="20"/>
        <v>17.33009708737864</v>
      </c>
      <c r="F425" s="63">
        <f t="shared" si="19"/>
        <v>17</v>
      </c>
    </row>
    <row r="426" spans="1:6" x14ac:dyDescent="0.4">
      <c r="A426" s="6" t="s">
        <v>549</v>
      </c>
      <c r="B426" s="7">
        <v>133</v>
      </c>
      <c r="C426" s="6"/>
      <c r="D426" s="73">
        <v>25</v>
      </c>
      <c r="E426" s="65">
        <f t="shared" si="20"/>
        <v>28.883495145631066</v>
      </c>
      <c r="F426" s="63">
        <f t="shared" si="19"/>
        <v>29</v>
      </c>
    </row>
    <row r="427" spans="1:6" x14ac:dyDescent="0.4">
      <c r="A427" s="6" t="s">
        <v>1085</v>
      </c>
      <c r="B427" s="7">
        <v>134</v>
      </c>
      <c r="C427" s="6"/>
      <c r="D427" s="73">
        <v>15</v>
      </c>
      <c r="E427" s="65">
        <f t="shared" si="20"/>
        <v>17.33009708737864</v>
      </c>
      <c r="F427" s="63">
        <f t="shared" si="19"/>
        <v>17</v>
      </c>
    </row>
    <row r="428" spans="1:6" x14ac:dyDescent="0.4">
      <c r="A428" s="6" t="s">
        <v>1146</v>
      </c>
      <c r="B428" s="7">
        <v>130</v>
      </c>
      <c r="C428" s="6"/>
      <c r="D428" s="73">
        <v>10</v>
      </c>
      <c r="E428" s="65">
        <f t="shared" si="20"/>
        <v>11.553398058252426</v>
      </c>
      <c r="F428" s="63">
        <f t="shared" si="19"/>
        <v>12</v>
      </c>
    </row>
    <row r="429" spans="1:6" x14ac:dyDescent="0.4">
      <c r="A429" s="6" t="s">
        <v>1613</v>
      </c>
      <c r="B429" s="7">
        <v>129</v>
      </c>
      <c r="C429" s="6"/>
      <c r="D429" s="73">
        <v>5</v>
      </c>
      <c r="E429" s="65">
        <f t="shared" si="20"/>
        <v>5.7766990291262132</v>
      </c>
      <c r="F429" s="63">
        <f t="shared" si="19"/>
        <v>6</v>
      </c>
    </row>
    <row r="430" spans="1:6" x14ac:dyDescent="0.4">
      <c r="A430" s="6" t="s">
        <v>999</v>
      </c>
      <c r="B430" s="7">
        <v>21</v>
      </c>
      <c r="C430" s="6"/>
      <c r="D430" s="73">
        <v>10</v>
      </c>
      <c r="E430" s="65">
        <f t="shared" si="20"/>
        <v>11.553398058252426</v>
      </c>
      <c r="F430" s="63">
        <f t="shared" si="19"/>
        <v>12</v>
      </c>
    </row>
    <row r="431" spans="1:6" x14ac:dyDescent="0.4">
      <c r="A431" s="6" t="s">
        <v>144</v>
      </c>
      <c r="B431" s="8">
        <v>130</v>
      </c>
      <c r="C431" s="6" t="s">
        <v>143</v>
      </c>
      <c r="D431" s="73">
        <v>3</v>
      </c>
      <c r="E431" s="65">
        <f t="shared" si="20"/>
        <v>3.4660194174757279</v>
      </c>
      <c r="F431" s="63">
        <f t="shared" si="19"/>
        <v>3</v>
      </c>
    </row>
    <row r="432" spans="1:6" x14ac:dyDescent="0.4">
      <c r="A432" s="6" t="s">
        <v>506</v>
      </c>
      <c r="B432" s="7">
        <v>118</v>
      </c>
      <c r="C432" s="6"/>
      <c r="D432" s="73">
        <v>70</v>
      </c>
      <c r="E432" s="65">
        <f t="shared" si="20"/>
        <v>80.873786407766985</v>
      </c>
      <c r="F432" s="63">
        <f t="shared" si="19"/>
        <v>81</v>
      </c>
    </row>
    <row r="433" spans="1:6" x14ac:dyDescent="0.4">
      <c r="A433" s="6" t="s">
        <v>499</v>
      </c>
      <c r="B433" s="7">
        <v>117</v>
      </c>
      <c r="C433" s="6"/>
      <c r="D433" s="73">
        <v>6</v>
      </c>
      <c r="E433" s="65">
        <f t="shared" si="20"/>
        <v>6.9320388349514559</v>
      </c>
      <c r="F433" s="63">
        <f t="shared" si="19"/>
        <v>7</v>
      </c>
    </row>
    <row r="434" spans="1:6" x14ac:dyDescent="0.4">
      <c r="A434" s="6" t="s">
        <v>1823</v>
      </c>
      <c r="B434" s="7">
        <v>113</v>
      </c>
      <c r="C434" s="6"/>
      <c r="D434" s="73">
        <v>10</v>
      </c>
      <c r="E434" s="65">
        <f t="shared" si="20"/>
        <v>11.553398058252426</v>
      </c>
      <c r="F434" s="63">
        <f t="shared" si="19"/>
        <v>12</v>
      </c>
    </row>
    <row r="435" spans="1:6" x14ac:dyDescent="0.4">
      <c r="A435" s="6" t="s">
        <v>508</v>
      </c>
      <c r="B435" s="7">
        <v>119</v>
      </c>
      <c r="C435" s="6"/>
      <c r="D435" s="73">
        <v>18</v>
      </c>
      <c r="E435" s="65">
        <f t="shared" si="20"/>
        <v>20.796116504854368</v>
      </c>
      <c r="F435" s="63">
        <f t="shared" si="19"/>
        <v>21</v>
      </c>
    </row>
    <row r="436" spans="1:6" x14ac:dyDescent="0.4">
      <c r="A436" s="6" t="s">
        <v>1594</v>
      </c>
      <c r="B436" s="7">
        <v>68</v>
      </c>
      <c r="C436" s="6"/>
      <c r="D436" s="73">
        <v>10</v>
      </c>
      <c r="E436" s="65">
        <f t="shared" si="20"/>
        <v>11.553398058252426</v>
      </c>
      <c r="F436" s="63">
        <f t="shared" si="19"/>
        <v>12</v>
      </c>
    </row>
    <row r="437" spans="1:6" x14ac:dyDescent="0.4">
      <c r="A437" s="6" t="s">
        <v>504</v>
      </c>
      <c r="B437" s="7">
        <v>118</v>
      </c>
      <c r="C437" s="6"/>
      <c r="D437" s="73">
        <v>25</v>
      </c>
      <c r="E437" s="65">
        <f t="shared" si="20"/>
        <v>28.883495145631066</v>
      </c>
      <c r="F437" s="63">
        <f t="shared" si="19"/>
        <v>29</v>
      </c>
    </row>
    <row r="438" spans="1:6" x14ac:dyDescent="0.4">
      <c r="A438" s="6" t="s">
        <v>161</v>
      </c>
      <c r="B438" s="8">
        <v>39</v>
      </c>
      <c r="C438" s="6"/>
      <c r="D438" s="73">
        <v>10</v>
      </c>
      <c r="E438" s="65">
        <f t="shared" si="20"/>
        <v>11.553398058252426</v>
      </c>
      <c r="F438" s="63">
        <f t="shared" si="19"/>
        <v>12</v>
      </c>
    </row>
    <row r="439" spans="1:6" x14ac:dyDescent="0.4">
      <c r="A439" s="6" t="s">
        <v>1134</v>
      </c>
      <c r="B439" s="7">
        <v>83</v>
      </c>
      <c r="C439" s="6"/>
      <c r="D439" s="73">
        <v>8</v>
      </c>
      <c r="E439" s="65">
        <f t="shared" si="20"/>
        <v>9.2427184466019412</v>
      </c>
      <c r="F439" s="63">
        <f t="shared" si="19"/>
        <v>9</v>
      </c>
    </row>
    <row r="440" spans="1:6" x14ac:dyDescent="0.4">
      <c r="A440" s="6" t="s">
        <v>511</v>
      </c>
      <c r="B440" s="7">
        <v>119</v>
      </c>
      <c r="C440" s="6"/>
      <c r="D440" s="73">
        <v>20</v>
      </c>
      <c r="E440" s="65">
        <f t="shared" si="20"/>
        <v>23.106796116504853</v>
      </c>
      <c r="F440" s="63">
        <f t="shared" si="19"/>
        <v>23</v>
      </c>
    </row>
    <row r="441" spans="1:6" x14ac:dyDescent="0.4">
      <c r="A441" s="6" t="s">
        <v>966</v>
      </c>
      <c r="B441" s="7">
        <v>142</v>
      </c>
      <c r="C441" s="6"/>
      <c r="D441" s="73">
        <v>2</v>
      </c>
      <c r="E441" s="65">
        <f t="shared" si="20"/>
        <v>2.3106796116504853</v>
      </c>
      <c r="F441" s="63">
        <f t="shared" si="19"/>
        <v>2</v>
      </c>
    </row>
    <row r="442" spans="1:6" x14ac:dyDescent="0.4">
      <c r="A442" s="6" t="s">
        <v>563</v>
      </c>
      <c r="B442" s="7">
        <v>135</v>
      </c>
      <c r="C442" s="6"/>
      <c r="D442" s="73">
        <v>10</v>
      </c>
      <c r="E442" s="65">
        <f t="shared" si="20"/>
        <v>11.553398058252426</v>
      </c>
      <c r="F442" s="63">
        <f t="shared" si="19"/>
        <v>12</v>
      </c>
    </row>
    <row r="443" spans="1:6" x14ac:dyDescent="0.4">
      <c r="A443" s="6" t="s">
        <v>274</v>
      </c>
      <c r="B443" s="8">
        <v>66</v>
      </c>
      <c r="C443" s="6"/>
      <c r="D443" s="73">
        <v>5</v>
      </c>
      <c r="E443" s="65">
        <f t="shared" si="20"/>
        <v>5.7766990291262132</v>
      </c>
      <c r="F443" s="63">
        <f t="shared" si="19"/>
        <v>6</v>
      </c>
    </row>
    <row r="444" spans="1:6" x14ac:dyDescent="0.4">
      <c r="A444" s="6" t="s">
        <v>156</v>
      </c>
      <c r="B444" s="8">
        <v>39</v>
      </c>
      <c r="C444" s="6"/>
      <c r="D444" s="73">
        <v>10</v>
      </c>
      <c r="E444" s="65">
        <f t="shared" si="20"/>
        <v>11.553398058252426</v>
      </c>
      <c r="F444" s="63">
        <f t="shared" si="19"/>
        <v>12</v>
      </c>
    </row>
    <row r="445" spans="1:6" x14ac:dyDescent="0.4">
      <c r="A445" s="6" t="s">
        <v>1082</v>
      </c>
      <c r="B445" s="8">
        <v>21</v>
      </c>
      <c r="C445" s="6"/>
      <c r="D445" s="73">
        <v>15</v>
      </c>
      <c r="E445" s="65">
        <f t="shared" si="20"/>
        <v>17.33009708737864</v>
      </c>
      <c r="F445" s="63">
        <f t="shared" si="19"/>
        <v>17</v>
      </c>
    </row>
    <row r="446" spans="1:6" x14ac:dyDescent="0.4">
      <c r="A446" s="6" t="s">
        <v>928</v>
      </c>
      <c r="B446" s="8" t="s">
        <v>925</v>
      </c>
      <c r="C446" s="6"/>
      <c r="D446" s="73">
        <v>3</v>
      </c>
      <c r="E446" s="65">
        <f t="shared" si="20"/>
        <v>3.4660194174757279</v>
      </c>
      <c r="F446" s="63">
        <f t="shared" si="19"/>
        <v>3</v>
      </c>
    </row>
    <row r="447" spans="1:6" x14ac:dyDescent="0.4">
      <c r="A447" s="6" t="s">
        <v>22</v>
      </c>
      <c r="B447" s="8">
        <v>13</v>
      </c>
      <c r="C447" s="6"/>
      <c r="D447" s="73">
        <v>8</v>
      </c>
      <c r="E447" s="65">
        <f t="shared" si="20"/>
        <v>9.2427184466019412</v>
      </c>
      <c r="F447" s="63">
        <f t="shared" si="19"/>
        <v>9</v>
      </c>
    </row>
    <row r="448" spans="1:6" x14ac:dyDescent="0.4">
      <c r="A448" s="6" t="s">
        <v>23</v>
      </c>
      <c r="B448" s="8">
        <v>13</v>
      </c>
      <c r="C448" s="6"/>
      <c r="D448" s="73">
        <v>8</v>
      </c>
      <c r="E448" s="65">
        <f t="shared" si="20"/>
        <v>9.2427184466019412</v>
      </c>
      <c r="F448" s="63">
        <f t="shared" si="19"/>
        <v>9</v>
      </c>
    </row>
    <row r="449" spans="1:6" x14ac:dyDescent="0.4">
      <c r="A449" s="6" t="s">
        <v>441</v>
      </c>
      <c r="B449" s="7">
        <v>108</v>
      </c>
      <c r="C449" s="6"/>
      <c r="D449" s="73">
        <v>5</v>
      </c>
      <c r="E449" s="65">
        <f t="shared" si="20"/>
        <v>5.7766990291262132</v>
      </c>
      <c r="F449" s="63">
        <f t="shared" si="19"/>
        <v>6</v>
      </c>
    </row>
    <row r="450" spans="1:6" x14ac:dyDescent="0.4">
      <c r="A450" s="6" t="s">
        <v>442</v>
      </c>
      <c r="B450" s="7">
        <v>108</v>
      </c>
      <c r="C450" s="6"/>
      <c r="D450" s="73">
        <v>5</v>
      </c>
      <c r="E450" s="65">
        <f t="shared" si="20"/>
        <v>5.7766990291262132</v>
      </c>
      <c r="F450" s="63">
        <f t="shared" ref="F450:F513" si="21">ROUND(E450,0)</f>
        <v>6</v>
      </c>
    </row>
    <row r="451" spans="1:6" x14ac:dyDescent="0.4">
      <c r="A451" s="6" t="s">
        <v>92</v>
      </c>
      <c r="B451" s="8">
        <v>26</v>
      </c>
      <c r="C451" s="6"/>
      <c r="D451" s="73">
        <v>6</v>
      </c>
      <c r="E451" s="65">
        <f t="shared" si="20"/>
        <v>6.9320388349514559</v>
      </c>
      <c r="F451" s="63">
        <f t="shared" si="21"/>
        <v>7</v>
      </c>
    </row>
    <row r="452" spans="1:6" x14ac:dyDescent="0.4">
      <c r="A452" s="6" t="s">
        <v>1002</v>
      </c>
      <c r="B452" s="7">
        <v>26</v>
      </c>
      <c r="C452" s="6"/>
      <c r="D452" s="73">
        <v>6</v>
      </c>
      <c r="E452" s="65">
        <f t="shared" si="20"/>
        <v>6.9320388349514559</v>
      </c>
      <c r="F452" s="63">
        <f t="shared" si="21"/>
        <v>7</v>
      </c>
    </row>
    <row r="453" spans="1:6" x14ac:dyDescent="0.4">
      <c r="A453" s="6" t="s">
        <v>357</v>
      </c>
      <c r="B453" s="8">
        <v>90</v>
      </c>
      <c r="C453" s="6"/>
      <c r="D453" s="73">
        <v>25</v>
      </c>
      <c r="E453" s="65">
        <f t="shared" si="20"/>
        <v>28.883495145631066</v>
      </c>
      <c r="F453" s="63">
        <f t="shared" si="21"/>
        <v>29</v>
      </c>
    </row>
    <row r="454" spans="1:6" x14ac:dyDescent="0.4">
      <c r="A454" s="6" t="s">
        <v>356</v>
      </c>
      <c r="B454" s="8">
        <v>90</v>
      </c>
      <c r="C454" s="6"/>
      <c r="D454" s="73">
        <v>25</v>
      </c>
      <c r="E454" s="65">
        <f t="shared" si="20"/>
        <v>28.883495145631066</v>
      </c>
      <c r="F454" s="63">
        <f t="shared" si="21"/>
        <v>29</v>
      </c>
    </row>
    <row r="455" spans="1:6" x14ac:dyDescent="0.4">
      <c r="A455" s="6" t="s">
        <v>53</v>
      </c>
      <c r="B455" s="8">
        <v>23</v>
      </c>
      <c r="C455" s="6"/>
      <c r="D455" s="73">
        <v>5</v>
      </c>
      <c r="E455" s="65">
        <f t="shared" si="20"/>
        <v>5.7766990291262132</v>
      </c>
      <c r="F455" s="63">
        <f t="shared" si="21"/>
        <v>6</v>
      </c>
    </row>
    <row r="456" spans="1:6" x14ac:dyDescent="0.4">
      <c r="A456" s="6" t="s">
        <v>951</v>
      </c>
      <c r="B456" s="7">
        <v>24</v>
      </c>
      <c r="C456" s="6"/>
      <c r="D456" s="73">
        <v>5</v>
      </c>
      <c r="E456" s="65">
        <f t="shared" si="20"/>
        <v>5.7766990291262132</v>
      </c>
      <c r="F456" s="63">
        <f t="shared" si="21"/>
        <v>6</v>
      </c>
    </row>
    <row r="457" spans="1:6" x14ac:dyDescent="0.4">
      <c r="A457" s="6" t="s">
        <v>52</v>
      </c>
      <c r="B457" s="8">
        <v>23</v>
      </c>
      <c r="C457" s="6"/>
      <c r="D457" s="73">
        <v>5</v>
      </c>
      <c r="E457" s="65">
        <f t="shared" si="20"/>
        <v>5.7766990291262132</v>
      </c>
      <c r="F457" s="63">
        <f t="shared" si="21"/>
        <v>6</v>
      </c>
    </row>
    <row r="458" spans="1:6" x14ac:dyDescent="0.4">
      <c r="A458" s="6" t="s">
        <v>56</v>
      </c>
      <c r="B458" s="8">
        <v>23</v>
      </c>
      <c r="C458" s="6"/>
      <c r="D458" s="73">
        <v>5</v>
      </c>
      <c r="E458" s="65">
        <f t="shared" si="20"/>
        <v>5.7766990291262132</v>
      </c>
      <c r="F458" s="63">
        <f t="shared" si="21"/>
        <v>6</v>
      </c>
    </row>
    <row r="459" spans="1:6" x14ac:dyDescent="0.4">
      <c r="A459" s="6" t="s">
        <v>1116</v>
      </c>
      <c r="B459" s="7">
        <v>26</v>
      </c>
      <c r="C459" s="6"/>
      <c r="D459" s="73">
        <v>5</v>
      </c>
      <c r="E459" s="65">
        <f t="shared" si="20"/>
        <v>5.7766990291262132</v>
      </c>
      <c r="F459" s="63">
        <f t="shared" si="21"/>
        <v>6</v>
      </c>
    </row>
    <row r="460" spans="1:6" x14ac:dyDescent="0.4">
      <c r="A460" s="6" t="s">
        <v>57</v>
      </c>
      <c r="B460" s="8">
        <v>23</v>
      </c>
      <c r="C460" s="6"/>
      <c r="D460" s="73">
        <v>5</v>
      </c>
      <c r="E460" s="65">
        <f t="shared" si="20"/>
        <v>5.7766990291262132</v>
      </c>
      <c r="F460" s="63">
        <f t="shared" si="21"/>
        <v>6</v>
      </c>
    </row>
    <row r="461" spans="1:6" x14ac:dyDescent="0.4">
      <c r="A461" s="6" t="s">
        <v>55</v>
      </c>
      <c r="B461" s="8">
        <v>23</v>
      </c>
      <c r="C461" s="6"/>
      <c r="D461" s="73">
        <v>5</v>
      </c>
      <c r="E461" s="65">
        <f t="shared" si="20"/>
        <v>5.7766990291262132</v>
      </c>
      <c r="F461" s="63">
        <f t="shared" si="21"/>
        <v>6</v>
      </c>
    </row>
    <row r="462" spans="1:6" x14ac:dyDescent="0.4">
      <c r="A462" s="6" t="s">
        <v>54</v>
      </c>
      <c r="B462" s="8">
        <v>23</v>
      </c>
      <c r="C462" s="6"/>
      <c r="D462" s="73">
        <v>5</v>
      </c>
      <c r="E462" s="65">
        <f t="shared" si="20"/>
        <v>5.7766990291262132</v>
      </c>
      <c r="F462" s="63">
        <f t="shared" si="21"/>
        <v>6</v>
      </c>
    </row>
    <row r="463" spans="1:6" x14ac:dyDescent="0.4">
      <c r="A463" s="6" t="s">
        <v>58</v>
      </c>
      <c r="B463" s="8">
        <v>23</v>
      </c>
      <c r="C463" s="6"/>
      <c r="D463" s="73">
        <v>5</v>
      </c>
      <c r="E463" s="65">
        <f t="shared" si="20"/>
        <v>5.7766990291262132</v>
      </c>
      <c r="F463" s="63">
        <f t="shared" si="21"/>
        <v>6</v>
      </c>
    </row>
    <row r="464" spans="1:6" x14ac:dyDescent="0.4">
      <c r="A464" s="6" t="s">
        <v>59</v>
      </c>
      <c r="B464" s="8">
        <v>23</v>
      </c>
      <c r="C464" s="6"/>
      <c r="D464" s="73">
        <v>5</v>
      </c>
      <c r="E464" s="65">
        <f t="shared" si="20"/>
        <v>5.7766990291262132</v>
      </c>
      <c r="F464" s="63">
        <f t="shared" si="21"/>
        <v>6</v>
      </c>
    </row>
    <row r="465" spans="1:7" x14ac:dyDescent="0.4">
      <c r="A465" s="6" t="s">
        <v>60</v>
      </c>
      <c r="B465" s="8">
        <v>23</v>
      </c>
      <c r="C465" s="6"/>
      <c r="D465" s="73">
        <v>5</v>
      </c>
      <c r="E465" s="65">
        <f t="shared" si="20"/>
        <v>5.7766990291262132</v>
      </c>
      <c r="F465" s="63">
        <f t="shared" si="21"/>
        <v>6</v>
      </c>
    </row>
    <row r="466" spans="1:7" x14ac:dyDescent="0.4">
      <c r="A466" s="6" t="s">
        <v>758</v>
      </c>
      <c r="B466" s="7">
        <v>137</v>
      </c>
      <c r="C466" s="6" t="s">
        <v>759</v>
      </c>
      <c r="D466" s="73">
        <v>10</v>
      </c>
      <c r="E466" s="65">
        <f t="shared" si="20"/>
        <v>11.553398058252426</v>
      </c>
      <c r="F466" s="63">
        <f t="shared" si="21"/>
        <v>12</v>
      </c>
    </row>
    <row r="467" spans="1:7" x14ac:dyDescent="0.4">
      <c r="A467" s="6" t="s">
        <v>756</v>
      </c>
      <c r="B467" s="7">
        <v>137</v>
      </c>
      <c r="C467" s="6" t="s">
        <v>757</v>
      </c>
      <c r="D467" s="73">
        <v>15</v>
      </c>
      <c r="E467" s="65">
        <f t="shared" si="20"/>
        <v>17.33009708737864</v>
      </c>
      <c r="F467" s="63">
        <f t="shared" si="21"/>
        <v>17</v>
      </c>
    </row>
    <row r="468" spans="1:7" x14ac:dyDescent="0.4">
      <c r="A468" s="6" t="s">
        <v>975</v>
      </c>
      <c r="B468" s="7">
        <v>137</v>
      </c>
      <c r="C468" s="6"/>
      <c r="D468" s="73">
        <v>10</v>
      </c>
      <c r="E468" s="65">
        <f t="shared" si="20"/>
        <v>11.553398058252426</v>
      </c>
      <c r="F468" s="63">
        <f t="shared" si="21"/>
        <v>12</v>
      </c>
    </row>
    <row r="469" spans="1:7" x14ac:dyDescent="0.4">
      <c r="A469" s="6" t="s">
        <v>919</v>
      </c>
      <c r="B469" s="8" t="s">
        <v>908</v>
      </c>
      <c r="C469" s="11" t="s">
        <v>920</v>
      </c>
      <c r="D469" s="73">
        <v>10</v>
      </c>
      <c r="E469" s="65">
        <f t="shared" si="20"/>
        <v>11.553398058252426</v>
      </c>
      <c r="F469" s="63">
        <f t="shared" si="21"/>
        <v>12</v>
      </c>
    </row>
    <row r="470" spans="1:7" s="3" customFormat="1" x14ac:dyDescent="0.4">
      <c r="A470" s="6" t="s">
        <v>755</v>
      </c>
      <c r="B470" s="7">
        <v>137</v>
      </c>
      <c r="C470" s="6" t="s">
        <v>754</v>
      </c>
      <c r="D470" s="73">
        <v>15</v>
      </c>
      <c r="E470" s="65">
        <f t="shared" si="20"/>
        <v>17.33009708737864</v>
      </c>
      <c r="F470" s="63">
        <f t="shared" si="21"/>
        <v>17</v>
      </c>
      <c r="G470" s="62"/>
    </row>
    <row r="471" spans="1:7" x14ac:dyDescent="0.4">
      <c r="A471" s="6" t="s">
        <v>753</v>
      </c>
      <c r="B471" s="7">
        <v>135</v>
      </c>
      <c r="C471" s="6" t="s">
        <v>703</v>
      </c>
      <c r="D471" s="73">
        <v>10</v>
      </c>
      <c r="E471" s="65">
        <f t="shared" si="20"/>
        <v>11.553398058252426</v>
      </c>
      <c r="F471" s="63">
        <f t="shared" si="21"/>
        <v>12</v>
      </c>
    </row>
    <row r="472" spans="1:7" s="3" customFormat="1" x14ac:dyDescent="0.4">
      <c r="A472" s="6" t="s">
        <v>751</v>
      </c>
      <c r="B472" s="7">
        <v>136</v>
      </c>
      <c r="C472" s="6" t="s">
        <v>752</v>
      </c>
      <c r="D472" s="73">
        <v>10</v>
      </c>
      <c r="E472" s="65">
        <f t="shared" si="20"/>
        <v>11.553398058252426</v>
      </c>
      <c r="F472" s="63">
        <f t="shared" si="21"/>
        <v>12</v>
      </c>
      <c r="G472" s="62"/>
    </row>
    <row r="473" spans="1:7" s="3" customFormat="1" x14ac:dyDescent="0.4">
      <c r="A473" s="6" t="s">
        <v>938</v>
      </c>
      <c r="B473" s="7">
        <v>137</v>
      </c>
      <c r="C473" s="6"/>
      <c r="D473" s="73">
        <v>15</v>
      </c>
      <c r="E473" s="65">
        <f t="shared" si="20"/>
        <v>17.33009708737864</v>
      </c>
      <c r="F473" s="63">
        <f t="shared" si="21"/>
        <v>17</v>
      </c>
      <c r="G473" s="62"/>
    </row>
    <row r="474" spans="1:7" x14ac:dyDescent="0.4">
      <c r="A474" s="6" t="s">
        <v>682</v>
      </c>
      <c r="B474" s="7">
        <v>122</v>
      </c>
      <c r="C474" s="6" t="s">
        <v>681</v>
      </c>
      <c r="D474" s="73">
        <v>10</v>
      </c>
      <c r="E474" s="65">
        <f t="shared" si="20"/>
        <v>11.553398058252426</v>
      </c>
      <c r="F474" s="63">
        <f t="shared" si="21"/>
        <v>12</v>
      </c>
    </row>
    <row r="475" spans="1:7" s="4" customFormat="1" x14ac:dyDescent="0.4">
      <c r="A475" s="6" t="s">
        <v>685</v>
      </c>
      <c r="B475" s="7">
        <v>123</v>
      </c>
      <c r="C475" s="6" t="s">
        <v>683</v>
      </c>
      <c r="D475" s="73">
        <v>12</v>
      </c>
      <c r="E475" s="65">
        <f t="shared" si="20"/>
        <v>13.864077669902912</v>
      </c>
      <c r="F475" s="63">
        <f t="shared" si="21"/>
        <v>14</v>
      </c>
      <c r="G475" s="61"/>
    </row>
    <row r="476" spans="1:7" x14ac:dyDescent="0.4">
      <c r="A476" s="6" t="s">
        <v>684</v>
      </c>
      <c r="B476" s="7">
        <v>123</v>
      </c>
      <c r="C476" s="6" t="s">
        <v>686</v>
      </c>
      <c r="D476" s="73">
        <v>10</v>
      </c>
      <c r="E476" s="65">
        <f t="shared" si="20"/>
        <v>11.553398058252426</v>
      </c>
      <c r="F476" s="63">
        <f t="shared" si="21"/>
        <v>12</v>
      </c>
    </row>
    <row r="477" spans="1:7" x14ac:dyDescent="0.4">
      <c r="A477" s="6" t="s">
        <v>688</v>
      </c>
      <c r="B477" s="7">
        <v>105</v>
      </c>
      <c r="C477" s="6" t="s">
        <v>687</v>
      </c>
      <c r="D477" s="73">
        <v>6</v>
      </c>
      <c r="E477" s="65">
        <f t="shared" si="20"/>
        <v>6.9320388349514559</v>
      </c>
      <c r="F477" s="63">
        <f t="shared" si="21"/>
        <v>7</v>
      </c>
    </row>
    <row r="478" spans="1:7" x14ac:dyDescent="0.4">
      <c r="A478" s="6" t="s">
        <v>689</v>
      </c>
      <c r="B478" s="8">
        <v>15</v>
      </c>
      <c r="C478" s="6" t="s">
        <v>690</v>
      </c>
      <c r="D478" s="73">
        <v>10</v>
      </c>
      <c r="E478" s="65">
        <f t="shared" si="20"/>
        <v>11.553398058252426</v>
      </c>
      <c r="F478" s="63">
        <f t="shared" si="21"/>
        <v>12</v>
      </c>
    </row>
    <row r="479" spans="1:7" x14ac:dyDescent="0.4">
      <c r="A479" s="6" t="s">
        <v>1046</v>
      </c>
      <c r="B479" s="8">
        <v>89</v>
      </c>
      <c r="C479" s="6" t="s">
        <v>1047</v>
      </c>
      <c r="D479" s="73">
        <v>8</v>
      </c>
      <c r="E479" s="65">
        <f t="shared" si="20"/>
        <v>9.2427184466019412</v>
      </c>
      <c r="F479" s="63">
        <f t="shared" si="21"/>
        <v>9</v>
      </c>
    </row>
    <row r="480" spans="1:7" x14ac:dyDescent="0.4">
      <c r="A480" s="9" t="s">
        <v>692</v>
      </c>
      <c r="B480" s="10">
        <v>104</v>
      </c>
      <c r="C480" s="9" t="s">
        <v>691</v>
      </c>
      <c r="D480" s="73">
        <v>8</v>
      </c>
      <c r="E480" s="65">
        <f t="shared" si="20"/>
        <v>9.2427184466019412</v>
      </c>
      <c r="F480" s="63">
        <f t="shared" si="21"/>
        <v>9</v>
      </c>
    </row>
    <row r="481" spans="1:6" x14ac:dyDescent="0.4">
      <c r="A481" s="9" t="s">
        <v>693</v>
      </c>
      <c r="B481" s="10">
        <v>104</v>
      </c>
      <c r="C481" s="9" t="s">
        <v>702</v>
      </c>
      <c r="D481" s="73">
        <v>12.5</v>
      </c>
      <c r="E481" s="65">
        <f t="shared" si="20"/>
        <v>14.441747572815533</v>
      </c>
      <c r="F481" s="63">
        <v>20</v>
      </c>
    </row>
    <row r="482" spans="1:6" x14ac:dyDescent="0.4">
      <c r="A482" s="6" t="s">
        <v>694</v>
      </c>
      <c r="B482" s="7">
        <v>106</v>
      </c>
      <c r="C482" s="6" t="s">
        <v>703</v>
      </c>
      <c r="D482" s="73">
        <v>7</v>
      </c>
      <c r="E482" s="65">
        <f t="shared" si="20"/>
        <v>8.0873786407766985</v>
      </c>
      <c r="F482" s="63">
        <f t="shared" si="21"/>
        <v>8</v>
      </c>
    </row>
    <row r="483" spans="1:6" x14ac:dyDescent="0.4">
      <c r="A483" s="6" t="s">
        <v>695</v>
      </c>
      <c r="B483" s="7">
        <v>106</v>
      </c>
      <c r="C483" s="6" t="s">
        <v>704</v>
      </c>
      <c r="D483" s="73">
        <v>6</v>
      </c>
      <c r="E483" s="65">
        <f t="shared" si="20"/>
        <v>6.9320388349514559</v>
      </c>
      <c r="F483" s="63">
        <f t="shared" si="21"/>
        <v>7</v>
      </c>
    </row>
    <row r="484" spans="1:6" x14ac:dyDescent="0.4">
      <c r="A484" s="9" t="s">
        <v>696</v>
      </c>
      <c r="B484" s="10">
        <v>104</v>
      </c>
      <c r="C484" s="9" t="s">
        <v>705</v>
      </c>
      <c r="D484" s="73">
        <v>8</v>
      </c>
      <c r="E484" s="65">
        <f t="shared" si="20"/>
        <v>9.2427184466019412</v>
      </c>
      <c r="F484" s="63">
        <f t="shared" si="21"/>
        <v>9</v>
      </c>
    </row>
    <row r="485" spans="1:6" x14ac:dyDescent="0.4">
      <c r="A485" s="6" t="s">
        <v>697</v>
      </c>
      <c r="B485" s="7">
        <v>104</v>
      </c>
      <c r="C485" s="6" t="s">
        <v>706</v>
      </c>
      <c r="D485" s="73">
        <v>8</v>
      </c>
      <c r="E485" s="65">
        <f t="shared" si="20"/>
        <v>9.2427184466019412</v>
      </c>
      <c r="F485" s="63">
        <f t="shared" si="21"/>
        <v>9</v>
      </c>
    </row>
    <row r="486" spans="1:6" x14ac:dyDescent="0.4">
      <c r="A486" s="11" t="s">
        <v>698</v>
      </c>
      <c r="B486" s="7">
        <v>105</v>
      </c>
      <c r="C486" s="11" t="s">
        <v>707</v>
      </c>
      <c r="D486" s="73">
        <v>8</v>
      </c>
      <c r="E486" s="65">
        <f t="shared" si="20"/>
        <v>9.2427184466019412</v>
      </c>
      <c r="F486" s="63">
        <f t="shared" si="21"/>
        <v>9</v>
      </c>
    </row>
    <row r="487" spans="1:6" x14ac:dyDescent="0.4">
      <c r="A487" s="6" t="s">
        <v>699</v>
      </c>
      <c r="B487" s="7">
        <v>105</v>
      </c>
      <c r="C487" s="6" t="s">
        <v>708</v>
      </c>
      <c r="D487" s="73">
        <v>6</v>
      </c>
      <c r="E487" s="65">
        <f t="shared" ref="E487:E522" si="22">D487/10.3*G$2</f>
        <v>6.9320388349514559</v>
      </c>
      <c r="F487" s="63">
        <f t="shared" si="21"/>
        <v>7</v>
      </c>
    </row>
    <row r="488" spans="1:6" x14ac:dyDescent="0.4">
      <c r="A488" s="6" t="s">
        <v>700</v>
      </c>
      <c r="B488" s="7">
        <v>105</v>
      </c>
      <c r="C488" s="6" t="s">
        <v>709</v>
      </c>
      <c r="D488" s="73">
        <v>8</v>
      </c>
      <c r="E488" s="65">
        <f t="shared" si="22"/>
        <v>9.2427184466019412</v>
      </c>
      <c r="F488" s="63">
        <v>10</v>
      </c>
    </row>
    <row r="489" spans="1:6" x14ac:dyDescent="0.4">
      <c r="A489" s="6" t="s">
        <v>701</v>
      </c>
      <c r="B489" s="7">
        <v>104</v>
      </c>
      <c r="C489" s="6" t="s">
        <v>710</v>
      </c>
      <c r="D489" s="73">
        <v>6</v>
      </c>
      <c r="E489" s="65">
        <f t="shared" si="22"/>
        <v>6.9320388349514559</v>
      </c>
      <c r="F489" s="63">
        <f t="shared" si="21"/>
        <v>7</v>
      </c>
    </row>
    <row r="490" spans="1:6" x14ac:dyDescent="0.4">
      <c r="A490" s="6" t="s">
        <v>711</v>
      </c>
      <c r="B490" s="7">
        <v>105</v>
      </c>
      <c r="C490" s="6" t="s">
        <v>717</v>
      </c>
      <c r="D490" s="73">
        <v>8</v>
      </c>
      <c r="E490" s="65">
        <f t="shared" si="22"/>
        <v>9.2427184466019412</v>
      </c>
      <c r="F490" s="63">
        <f t="shared" si="21"/>
        <v>9</v>
      </c>
    </row>
    <row r="491" spans="1:6" x14ac:dyDescent="0.4">
      <c r="A491" s="6" t="s">
        <v>712</v>
      </c>
      <c r="B491" s="7">
        <v>105</v>
      </c>
      <c r="C491" s="6" t="s">
        <v>718</v>
      </c>
      <c r="D491" s="73">
        <v>6</v>
      </c>
      <c r="E491" s="65">
        <f t="shared" si="22"/>
        <v>6.9320388349514559</v>
      </c>
      <c r="F491" s="63">
        <f t="shared" si="21"/>
        <v>7</v>
      </c>
    </row>
    <row r="492" spans="1:6" x14ac:dyDescent="0.4">
      <c r="A492" s="6" t="s">
        <v>713</v>
      </c>
      <c r="B492" s="8">
        <v>15</v>
      </c>
      <c r="C492" s="6" t="s">
        <v>719</v>
      </c>
      <c r="D492" s="73">
        <v>10</v>
      </c>
      <c r="E492" s="65">
        <f t="shared" si="22"/>
        <v>11.553398058252426</v>
      </c>
      <c r="F492" s="63">
        <f t="shared" si="21"/>
        <v>12</v>
      </c>
    </row>
    <row r="493" spans="1:6" x14ac:dyDescent="0.4">
      <c r="A493" s="6" t="s">
        <v>714</v>
      </c>
      <c r="B493" s="8">
        <v>28</v>
      </c>
      <c r="C493" s="6" t="s">
        <v>720</v>
      </c>
      <c r="D493" s="73">
        <v>20</v>
      </c>
      <c r="E493" s="65">
        <f t="shared" si="22"/>
        <v>23.106796116504853</v>
      </c>
      <c r="F493" s="63">
        <f t="shared" si="21"/>
        <v>23</v>
      </c>
    </row>
    <row r="494" spans="1:6" x14ac:dyDescent="0.4">
      <c r="A494" s="6" t="s">
        <v>956</v>
      </c>
      <c r="B494" s="8">
        <v>34</v>
      </c>
      <c r="C494" s="6"/>
      <c r="D494" s="73">
        <v>25</v>
      </c>
      <c r="E494" s="65">
        <f t="shared" si="22"/>
        <v>28.883495145631066</v>
      </c>
      <c r="F494" s="63">
        <f t="shared" si="21"/>
        <v>29</v>
      </c>
    </row>
    <row r="495" spans="1:6" x14ac:dyDescent="0.4">
      <c r="A495" s="6" t="s">
        <v>715</v>
      </c>
      <c r="B495" s="7">
        <v>122</v>
      </c>
      <c r="C495" s="6" t="s">
        <v>721</v>
      </c>
      <c r="D495" s="73">
        <v>20</v>
      </c>
      <c r="E495" s="65">
        <f t="shared" si="22"/>
        <v>23.106796116504853</v>
      </c>
      <c r="F495" s="63">
        <v>30</v>
      </c>
    </row>
    <row r="496" spans="1:6" x14ac:dyDescent="0.4">
      <c r="A496" s="6" t="s">
        <v>716</v>
      </c>
      <c r="B496" s="7">
        <v>122</v>
      </c>
      <c r="C496" s="6" t="s">
        <v>722</v>
      </c>
      <c r="D496" s="73">
        <v>22</v>
      </c>
      <c r="E496" s="65">
        <f t="shared" si="22"/>
        <v>25.417475728155338</v>
      </c>
      <c r="F496" s="63">
        <f t="shared" si="21"/>
        <v>25</v>
      </c>
    </row>
    <row r="497" spans="1:6" x14ac:dyDescent="0.4">
      <c r="A497" s="6" t="s">
        <v>1106</v>
      </c>
      <c r="B497" s="7">
        <v>89</v>
      </c>
      <c r="C497" s="6" t="s">
        <v>1105</v>
      </c>
      <c r="D497" s="73">
        <v>25</v>
      </c>
      <c r="E497" s="65">
        <f t="shared" si="22"/>
        <v>28.883495145631066</v>
      </c>
      <c r="F497" s="63">
        <f t="shared" si="21"/>
        <v>29</v>
      </c>
    </row>
    <row r="498" spans="1:6" x14ac:dyDescent="0.4">
      <c r="A498" s="6" t="s">
        <v>728</v>
      </c>
      <c r="B498" s="7">
        <v>122</v>
      </c>
      <c r="C498" s="6" t="s">
        <v>723</v>
      </c>
      <c r="D498" s="73">
        <v>15</v>
      </c>
      <c r="E498" s="65">
        <f t="shared" si="22"/>
        <v>17.33009708737864</v>
      </c>
      <c r="F498" s="63">
        <f t="shared" si="21"/>
        <v>17</v>
      </c>
    </row>
    <row r="499" spans="1:6" x14ac:dyDescent="0.4">
      <c r="A499" s="6" t="s">
        <v>729</v>
      </c>
      <c r="B499" s="7">
        <v>122</v>
      </c>
      <c r="C499" s="6" t="s">
        <v>724</v>
      </c>
      <c r="D499" s="73">
        <v>25</v>
      </c>
      <c r="E499" s="65">
        <f t="shared" si="22"/>
        <v>28.883495145631066</v>
      </c>
      <c r="F499" s="63">
        <f t="shared" si="21"/>
        <v>29</v>
      </c>
    </row>
    <row r="500" spans="1:6" x14ac:dyDescent="0.4">
      <c r="A500" s="6" t="s">
        <v>1011</v>
      </c>
      <c r="B500" s="7">
        <v>69</v>
      </c>
      <c r="C500" s="6" t="s">
        <v>1010</v>
      </c>
      <c r="D500" s="73">
        <v>6</v>
      </c>
      <c r="E500" s="65">
        <f t="shared" si="22"/>
        <v>6.9320388349514559</v>
      </c>
      <c r="F500" s="63">
        <f t="shared" si="21"/>
        <v>7</v>
      </c>
    </row>
    <row r="501" spans="1:6" x14ac:dyDescent="0.4">
      <c r="A501" s="6" t="s">
        <v>730</v>
      </c>
      <c r="B501" s="7">
        <v>106</v>
      </c>
      <c r="C501" s="6" t="s">
        <v>725</v>
      </c>
      <c r="D501" s="73">
        <v>6</v>
      </c>
      <c r="E501" s="65">
        <f t="shared" si="22"/>
        <v>6.9320388349514559</v>
      </c>
      <c r="F501" s="63">
        <f t="shared" si="21"/>
        <v>7</v>
      </c>
    </row>
    <row r="502" spans="1:6" x14ac:dyDescent="0.4">
      <c r="A502" s="6" t="s">
        <v>731</v>
      </c>
      <c r="B502" s="7">
        <v>106</v>
      </c>
      <c r="C502" s="6" t="s">
        <v>726</v>
      </c>
      <c r="D502" s="73">
        <v>6</v>
      </c>
      <c r="E502" s="65">
        <f t="shared" si="22"/>
        <v>6.9320388349514559</v>
      </c>
      <c r="F502" s="63">
        <f t="shared" si="21"/>
        <v>7</v>
      </c>
    </row>
    <row r="503" spans="1:6" x14ac:dyDescent="0.4">
      <c r="A503" s="6" t="s">
        <v>732</v>
      </c>
      <c r="B503" s="7">
        <v>106</v>
      </c>
      <c r="C503" s="6" t="s">
        <v>727</v>
      </c>
      <c r="D503" s="73">
        <v>8</v>
      </c>
      <c r="E503" s="65">
        <f t="shared" si="22"/>
        <v>9.2427184466019412</v>
      </c>
      <c r="F503" s="63">
        <f>ROUND(E503,0)</f>
        <v>9</v>
      </c>
    </row>
    <row r="504" spans="1:6" x14ac:dyDescent="0.4">
      <c r="A504" s="6" t="s">
        <v>733</v>
      </c>
      <c r="B504" s="7">
        <v>118</v>
      </c>
      <c r="C504" s="6" t="s">
        <v>734</v>
      </c>
      <c r="D504" s="73">
        <v>8.5</v>
      </c>
      <c r="E504" s="65">
        <f t="shared" si="22"/>
        <v>9.8203883495145625</v>
      </c>
      <c r="F504" s="63">
        <f t="shared" si="21"/>
        <v>10</v>
      </c>
    </row>
    <row r="505" spans="1:6" x14ac:dyDescent="0.4">
      <c r="A505" s="6" t="s">
        <v>761</v>
      </c>
      <c r="B505" s="8">
        <v>10</v>
      </c>
      <c r="C505" s="6" t="s">
        <v>762</v>
      </c>
      <c r="D505" s="73">
        <v>10</v>
      </c>
      <c r="E505" s="65">
        <f t="shared" si="22"/>
        <v>11.553398058252426</v>
      </c>
      <c r="F505" s="63">
        <f t="shared" si="21"/>
        <v>12</v>
      </c>
    </row>
    <row r="506" spans="1:6" x14ac:dyDescent="0.4">
      <c r="A506" s="6" t="s">
        <v>907</v>
      </c>
      <c r="B506" s="8" t="s">
        <v>908</v>
      </c>
      <c r="C506" s="11" t="s">
        <v>909</v>
      </c>
      <c r="D506" s="73">
        <v>10</v>
      </c>
      <c r="E506" s="65">
        <f t="shared" si="22"/>
        <v>11.553398058252426</v>
      </c>
      <c r="F506" s="63">
        <f t="shared" si="21"/>
        <v>12</v>
      </c>
    </row>
    <row r="507" spans="1:6" x14ac:dyDescent="0.4">
      <c r="A507" s="6" t="s">
        <v>987</v>
      </c>
      <c r="B507" s="8">
        <v>10</v>
      </c>
      <c r="C507" s="6" t="s">
        <v>988</v>
      </c>
      <c r="D507" s="73">
        <v>15</v>
      </c>
      <c r="E507" s="65">
        <f t="shared" si="22"/>
        <v>17.33009708737864</v>
      </c>
      <c r="F507" s="63">
        <f t="shared" si="21"/>
        <v>17</v>
      </c>
    </row>
    <row r="508" spans="1:6" x14ac:dyDescent="0.4">
      <c r="A508" s="6" t="s">
        <v>911</v>
      </c>
      <c r="B508" s="8" t="s">
        <v>908</v>
      </c>
      <c r="C508" s="11" t="s">
        <v>912</v>
      </c>
      <c r="D508" s="73">
        <v>25</v>
      </c>
      <c r="E508" s="65">
        <f t="shared" si="22"/>
        <v>28.883495145631066</v>
      </c>
      <c r="F508" s="63">
        <f t="shared" si="21"/>
        <v>29</v>
      </c>
    </row>
    <row r="509" spans="1:6" x14ac:dyDescent="0.4">
      <c r="A509" s="6" t="s">
        <v>916</v>
      </c>
      <c r="B509" s="8" t="s">
        <v>908</v>
      </c>
      <c r="C509" s="11" t="s">
        <v>687</v>
      </c>
      <c r="D509" s="73">
        <v>15</v>
      </c>
      <c r="E509" s="65">
        <f t="shared" si="22"/>
        <v>17.33009708737864</v>
      </c>
      <c r="F509" s="63">
        <f t="shared" si="21"/>
        <v>17</v>
      </c>
    </row>
    <row r="510" spans="1:6" x14ac:dyDescent="0.4">
      <c r="A510" s="6" t="s">
        <v>923</v>
      </c>
      <c r="B510" s="8" t="s">
        <v>908</v>
      </c>
      <c r="C510" s="11" t="s">
        <v>920</v>
      </c>
      <c r="D510" s="73">
        <v>10</v>
      </c>
      <c r="E510" s="65">
        <f t="shared" si="22"/>
        <v>11.553398058252426</v>
      </c>
      <c r="F510" s="63">
        <f t="shared" si="21"/>
        <v>12</v>
      </c>
    </row>
    <row r="511" spans="1:6" x14ac:dyDescent="0.4">
      <c r="A511" s="6" t="s">
        <v>913</v>
      </c>
      <c r="B511" s="8" t="s">
        <v>908</v>
      </c>
      <c r="C511" s="11" t="s">
        <v>762</v>
      </c>
      <c r="D511" s="73">
        <v>10</v>
      </c>
      <c r="E511" s="65">
        <f t="shared" si="22"/>
        <v>11.553398058252426</v>
      </c>
      <c r="F511" s="63">
        <f t="shared" si="21"/>
        <v>12</v>
      </c>
    </row>
    <row r="512" spans="1:6" x14ac:dyDescent="0.4">
      <c r="A512" s="6" t="s">
        <v>910</v>
      </c>
      <c r="B512" s="8" t="s">
        <v>908</v>
      </c>
      <c r="C512" s="11" t="s">
        <v>762</v>
      </c>
      <c r="D512" s="73">
        <v>10</v>
      </c>
      <c r="E512" s="65">
        <f t="shared" si="22"/>
        <v>11.553398058252426</v>
      </c>
      <c r="F512" s="63">
        <f t="shared" si="21"/>
        <v>12</v>
      </c>
    </row>
    <row r="513" spans="1:7" x14ac:dyDescent="0.4">
      <c r="A513" s="6" t="s">
        <v>921</v>
      </c>
      <c r="B513" s="8" t="s">
        <v>908</v>
      </c>
      <c r="C513" s="11" t="s">
        <v>922</v>
      </c>
      <c r="D513" s="73">
        <v>10</v>
      </c>
      <c r="E513" s="65">
        <f t="shared" si="22"/>
        <v>11.553398058252426</v>
      </c>
      <c r="F513" s="63">
        <f t="shared" si="21"/>
        <v>12</v>
      </c>
    </row>
    <row r="514" spans="1:7" s="3" customFormat="1" x14ac:dyDescent="0.4">
      <c r="A514" s="6" t="s">
        <v>914</v>
      </c>
      <c r="B514" s="8" t="s">
        <v>908</v>
      </c>
      <c r="C514" s="11" t="s">
        <v>915</v>
      </c>
      <c r="D514" s="73">
        <v>20</v>
      </c>
      <c r="E514" s="65">
        <f t="shared" si="22"/>
        <v>23.106796116504853</v>
      </c>
      <c r="F514" s="63">
        <f t="shared" ref="F514:F577" si="23">ROUND(E514,0)</f>
        <v>23</v>
      </c>
      <c r="G514" s="62"/>
    </row>
    <row r="515" spans="1:7" x14ac:dyDescent="0.4">
      <c r="A515" s="6" t="s">
        <v>917</v>
      </c>
      <c r="B515" s="8" t="s">
        <v>908</v>
      </c>
      <c r="C515" s="11" t="s">
        <v>918</v>
      </c>
      <c r="D515" s="73">
        <v>10</v>
      </c>
      <c r="E515" s="65">
        <f t="shared" si="22"/>
        <v>11.553398058252426</v>
      </c>
      <c r="F515" s="63">
        <f t="shared" si="23"/>
        <v>12</v>
      </c>
    </row>
    <row r="516" spans="1:7" x14ac:dyDescent="0.4">
      <c r="A516" s="6" t="s">
        <v>735</v>
      </c>
      <c r="B516" s="7">
        <v>136</v>
      </c>
      <c r="C516" s="6" t="s">
        <v>736</v>
      </c>
      <c r="D516" s="73">
        <v>10</v>
      </c>
      <c r="E516" s="65">
        <f t="shared" si="22"/>
        <v>11.553398058252426</v>
      </c>
      <c r="F516" s="63">
        <v>20</v>
      </c>
    </row>
    <row r="517" spans="1:7" x14ac:dyDescent="0.4">
      <c r="A517" s="6" t="s">
        <v>737</v>
      </c>
      <c r="B517" s="7">
        <v>136</v>
      </c>
      <c r="C517" s="6" t="s">
        <v>738</v>
      </c>
      <c r="D517" s="73">
        <v>8</v>
      </c>
      <c r="E517" s="65">
        <f t="shared" si="22"/>
        <v>9.2427184466019412</v>
      </c>
      <c r="F517" s="63">
        <f t="shared" si="23"/>
        <v>9</v>
      </c>
    </row>
    <row r="518" spans="1:7" x14ac:dyDescent="0.4">
      <c r="A518" s="6" t="s">
        <v>739</v>
      </c>
      <c r="B518" s="7">
        <v>136</v>
      </c>
      <c r="C518" s="6" t="s">
        <v>741</v>
      </c>
      <c r="D518" s="73">
        <v>10</v>
      </c>
      <c r="E518" s="65">
        <f t="shared" si="22"/>
        <v>11.553398058252426</v>
      </c>
      <c r="F518" s="63">
        <f t="shared" si="23"/>
        <v>12</v>
      </c>
    </row>
    <row r="519" spans="1:7" x14ac:dyDescent="0.4">
      <c r="A519" s="6" t="s">
        <v>740</v>
      </c>
      <c r="B519" s="7">
        <v>136</v>
      </c>
      <c r="C519" s="6" t="s">
        <v>742</v>
      </c>
      <c r="D519" s="73">
        <v>10</v>
      </c>
      <c r="E519" s="65">
        <f t="shared" si="22"/>
        <v>11.553398058252426</v>
      </c>
      <c r="F519" s="63">
        <f t="shared" si="23"/>
        <v>12</v>
      </c>
    </row>
    <row r="520" spans="1:7" x14ac:dyDescent="0.4">
      <c r="A520" s="6" t="s">
        <v>743</v>
      </c>
      <c r="B520" s="7">
        <v>136</v>
      </c>
      <c r="C520" s="6" t="s">
        <v>744</v>
      </c>
      <c r="D520" s="73">
        <v>7</v>
      </c>
      <c r="E520" s="65">
        <f t="shared" si="22"/>
        <v>8.0873786407766985</v>
      </c>
      <c r="F520" s="63">
        <f t="shared" si="23"/>
        <v>8</v>
      </c>
    </row>
    <row r="521" spans="1:7" x14ac:dyDescent="0.4">
      <c r="A521" s="6" t="s">
        <v>745</v>
      </c>
      <c r="B521" s="8">
        <v>15</v>
      </c>
      <c r="C521" s="6" t="s">
        <v>746</v>
      </c>
      <c r="D521" s="73">
        <v>30</v>
      </c>
      <c r="E521" s="65">
        <f t="shared" si="22"/>
        <v>34.660194174757279</v>
      </c>
      <c r="F521" s="63">
        <f t="shared" si="23"/>
        <v>35</v>
      </c>
    </row>
    <row r="522" spans="1:7" x14ac:dyDescent="0.4">
      <c r="A522" s="6" t="s">
        <v>520</v>
      </c>
      <c r="B522" s="7">
        <v>121</v>
      </c>
      <c r="C522" s="6"/>
      <c r="D522" s="73">
        <v>3</v>
      </c>
      <c r="E522" s="65">
        <f t="shared" si="22"/>
        <v>3.4660194174757279</v>
      </c>
      <c r="F522" s="63">
        <f t="shared" si="23"/>
        <v>3</v>
      </c>
    </row>
    <row r="523" spans="1:7" x14ac:dyDescent="0.4">
      <c r="A523" s="6" t="s">
        <v>519</v>
      </c>
      <c r="B523" s="7">
        <v>121</v>
      </c>
      <c r="C523" s="6"/>
      <c r="D523" s="73">
        <v>3</v>
      </c>
      <c r="E523" s="65">
        <v>8</v>
      </c>
      <c r="F523" s="63">
        <f t="shared" si="23"/>
        <v>8</v>
      </c>
    </row>
    <row r="524" spans="1:7" x14ac:dyDescent="0.4">
      <c r="A524" s="6" t="s">
        <v>521</v>
      </c>
      <c r="B524" s="7">
        <v>121</v>
      </c>
      <c r="C524" s="6"/>
      <c r="D524" s="73">
        <v>3</v>
      </c>
      <c r="E524" s="65">
        <v>8</v>
      </c>
      <c r="F524" s="63">
        <v>8</v>
      </c>
    </row>
    <row r="525" spans="1:7" x14ac:dyDescent="0.4">
      <c r="A525" s="6" t="s">
        <v>522</v>
      </c>
      <c r="B525" s="7">
        <v>121</v>
      </c>
      <c r="C525" s="6"/>
      <c r="D525" s="73">
        <v>3</v>
      </c>
      <c r="E525" s="65">
        <f>D525/10.3*G$2</f>
        <v>3.4660194174757279</v>
      </c>
      <c r="F525" s="63">
        <f t="shared" si="23"/>
        <v>3</v>
      </c>
    </row>
    <row r="526" spans="1:7" x14ac:dyDescent="0.4">
      <c r="A526" s="6" t="s">
        <v>94</v>
      </c>
      <c r="B526" s="8">
        <v>130</v>
      </c>
      <c r="C526" s="6" t="s">
        <v>95</v>
      </c>
      <c r="D526" s="73">
        <v>10</v>
      </c>
      <c r="E526" s="65">
        <f>D526/10.3*G$2</f>
        <v>11.553398058252426</v>
      </c>
      <c r="F526" s="63">
        <f t="shared" si="23"/>
        <v>12</v>
      </c>
    </row>
    <row r="527" spans="1:7" x14ac:dyDescent="0.4">
      <c r="A527" s="6" t="s">
        <v>1618</v>
      </c>
      <c r="B527" s="6" t="s">
        <v>1617</v>
      </c>
      <c r="C527" s="6"/>
      <c r="D527" s="73">
        <v>15</v>
      </c>
      <c r="E527" s="65">
        <v>15</v>
      </c>
      <c r="F527" s="63">
        <f t="shared" si="23"/>
        <v>15</v>
      </c>
    </row>
    <row r="528" spans="1:7" x14ac:dyDescent="0.4">
      <c r="A528" s="6" t="s">
        <v>363</v>
      </c>
      <c r="B528" s="8">
        <v>91</v>
      </c>
      <c r="C528" s="6"/>
      <c r="D528" s="73">
        <v>25</v>
      </c>
      <c r="E528" s="65">
        <f>D528/10.3*G$2</f>
        <v>28.883495145631066</v>
      </c>
      <c r="F528" s="63">
        <f t="shared" si="23"/>
        <v>29</v>
      </c>
    </row>
    <row r="529" spans="1:6" x14ac:dyDescent="0.4">
      <c r="A529" s="6" t="s">
        <v>943</v>
      </c>
      <c r="B529" s="8" t="s">
        <v>944</v>
      </c>
      <c r="C529" s="6"/>
      <c r="D529" s="73">
        <v>25</v>
      </c>
      <c r="E529" s="65">
        <f>D529/10.3*G$2</f>
        <v>28.883495145631066</v>
      </c>
      <c r="F529" s="63">
        <f t="shared" si="23"/>
        <v>29</v>
      </c>
    </row>
    <row r="530" spans="1:6" x14ac:dyDescent="0.4">
      <c r="A530" s="6" t="s">
        <v>44</v>
      </c>
      <c r="B530" s="8">
        <v>21</v>
      </c>
      <c r="C530" s="6"/>
      <c r="D530" s="73">
        <v>5</v>
      </c>
      <c r="E530" s="65">
        <v>7</v>
      </c>
      <c r="F530" s="63">
        <f t="shared" si="23"/>
        <v>7</v>
      </c>
    </row>
    <row r="531" spans="1:6" x14ac:dyDescent="0.4">
      <c r="A531" s="6" t="s">
        <v>43</v>
      </c>
      <c r="B531" s="8">
        <v>21</v>
      </c>
      <c r="C531" s="6"/>
      <c r="D531" s="73">
        <v>5</v>
      </c>
      <c r="E531" s="65">
        <f t="shared" ref="E531:E554" si="24">D531/10.3*G$2</f>
        <v>5.7766990291262132</v>
      </c>
      <c r="F531" s="63">
        <f t="shared" si="23"/>
        <v>6</v>
      </c>
    </row>
    <row r="532" spans="1:6" x14ac:dyDescent="0.4">
      <c r="A532" s="6" t="s">
        <v>290</v>
      </c>
      <c r="B532" s="8">
        <v>73</v>
      </c>
      <c r="C532" s="6"/>
      <c r="D532" s="73">
        <v>4</v>
      </c>
      <c r="E532" s="65">
        <f t="shared" si="24"/>
        <v>4.6213592233009706</v>
      </c>
      <c r="F532" s="63">
        <f t="shared" si="23"/>
        <v>5</v>
      </c>
    </row>
    <row r="533" spans="1:6" x14ac:dyDescent="0.4">
      <c r="A533" s="6" t="s">
        <v>291</v>
      </c>
      <c r="B533" s="8">
        <v>73</v>
      </c>
      <c r="C533" s="6"/>
      <c r="D533" s="73">
        <v>5</v>
      </c>
      <c r="E533" s="65">
        <f t="shared" si="24"/>
        <v>5.7766990291262132</v>
      </c>
      <c r="F533" s="63">
        <f t="shared" si="23"/>
        <v>6</v>
      </c>
    </row>
    <row r="534" spans="1:6" x14ac:dyDescent="0.4">
      <c r="A534" s="6" t="s">
        <v>957</v>
      </c>
      <c r="B534" s="7">
        <v>65</v>
      </c>
      <c r="C534" s="6"/>
      <c r="D534" s="73">
        <v>3</v>
      </c>
      <c r="E534" s="65">
        <f t="shared" si="24"/>
        <v>3.4660194174757279</v>
      </c>
      <c r="F534" s="63">
        <f t="shared" si="23"/>
        <v>3</v>
      </c>
    </row>
    <row r="535" spans="1:6" x14ac:dyDescent="0.4">
      <c r="A535" s="6" t="s">
        <v>1056</v>
      </c>
      <c r="B535" s="7">
        <v>19</v>
      </c>
      <c r="C535" s="6"/>
      <c r="D535" s="73">
        <v>4.5</v>
      </c>
      <c r="E535" s="65">
        <f t="shared" si="24"/>
        <v>5.1990291262135919</v>
      </c>
      <c r="F535" s="63">
        <f t="shared" si="23"/>
        <v>5</v>
      </c>
    </row>
    <row r="536" spans="1:6" x14ac:dyDescent="0.4">
      <c r="A536" s="6" t="s">
        <v>140</v>
      </c>
      <c r="B536" s="8">
        <v>37</v>
      </c>
      <c r="C536" s="6" t="s">
        <v>133</v>
      </c>
      <c r="D536" s="73">
        <v>15</v>
      </c>
      <c r="E536" s="65">
        <f t="shared" si="24"/>
        <v>17.33009708737864</v>
      </c>
      <c r="F536" s="63">
        <f t="shared" si="23"/>
        <v>17</v>
      </c>
    </row>
    <row r="537" spans="1:6" x14ac:dyDescent="0.4">
      <c r="A537" s="6" t="s">
        <v>572</v>
      </c>
      <c r="B537" s="7">
        <v>138</v>
      </c>
      <c r="C537" s="6"/>
      <c r="D537" s="73">
        <v>10</v>
      </c>
      <c r="E537" s="65">
        <f t="shared" si="24"/>
        <v>11.553398058252426</v>
      </c>
      <c r="F537" s="63">
        <f t="shared" si="23"/>
        <v>12</v>
      </c>
    </row>
    <row r="538" spans="1:6" x14ac:dyDescent="0.4">
      <c r="A538" s="6" t="s">
        <v>163</v>
      </c>
      <c r="B538" s="8">
        <v>39</v>
      </c>
      <c r="C538" s="6"/>
      <c r="D538" s="73">
        <v>25</v>
      </c>
      <c r="E538" s="65">
        <f t="shared" si="24"/>
        <v>28.883495145631066</v>
      </c>
      <c r="F538" s="63">
        <f t="shared" si="23"/>
        <v>29</v>
      </c>
    </row>
    <row r="539" spans="1:6" x14ac:dyDescent="0.4">
      <c r="A539" s="6" t="s">
        <v>160</v>
      </c>
      <c r="B539" s="8">
        <v>39</v>
      </c>
      <c r="C539" s="6"/>
      <c r="D539" s="73">
        <v>25</v>
      </c>
      <c r="E539" s="65">
        <f t="shared" si="24"/>
        <v>28.883495145631066</v>
      </c>
      <c r="F539" s="63">
        <f t="shared" si="23"/>
        <v>29</v>
      </c>
    </row>
    <row r="540" spans="1:6" x14ac:dyDescent="0.4">
      <c r="A540" s="6" t="s">
        <v>1023</v>
      </c>
      <c r="B540" s="8">
        <v>82</v>
      </c>
      <c r="C540" s="6"/>
      <c r="D540" s="73">
        <v>15</v>
      </c>
      <c r="E540" s="65">
        <f t="shared" si="24"/>
        <v>17.33009708737864</v>
      </c>
      <c r="F540" s="63">
        <f t="shared" si="23"/>
        <v>17</v>
      </c>
    </row>
    <row r="541" spans="1:6" x14ac:dyDescent="0.4">
      <c r="A541" s="6" t="s">
        <v>1582</v>
      </c>
      <c r="B541" s="7">
        <v>136</v>
      </c>
      <c r="C541" s="6"/>
      <c r="D541" s="73">
        <v>10</v>
      </c>
      <c r="E541" s="65">
        <f t="shared" si="24"/>
        <v>11.553398058252426</v>
      </c>
      <c r="F541" s="63">
        <f t="shared" si="23"/>
        <v>12</v>
      </c>
    </row>
    <row r="542" spans="1:6" x14ac:dyDescent="0.4">
      <c r="A542" s="6" t="s">
        <v>430</v>
      </c>
      <c r="B542" s="7">
        <v>101</v>
      </c>
      <c r="C542" s="6"/>
      <c r="D542" s="73">
        <v>65</v>
      </c>
      <c r="E542" s="65">
        <f t="shared" si="24"/>
        <v>75.097087378640779</v>
      </c>
      <c r="F542" s="63">
        <f t="shared" si="23"/>
        <v>75</v>
      </c>
    </row>
    <row r="543" spans="1:6" x14ac:dyDescent="0.4">
      <c r="A543" s="6" t="s">
        <v>431</v>
      </c>
      <c r="B543" s="7">
        <v>102</v>
      </c>
      <c r="C543" s="6"/>
      <c r="D543" s="73">
        <v>65</v>
      </c>
      <c r="E543" s="65">
        <f t="shared" si="24"/>
        <v>75.097087378640779</v>
      </c>
      <c r="F543" s="63">
        <f t="shared" si="23"/>
        <v>75</v>
      </c>
    </row>
    <row r="544" spans="1:6" x14ac:dyDescent="0.4">
      <c r="A544" s="6" t="s">
        <v>426</v>
      </c>
      <c r="B544" s="7">
        <v>101</v>
      </c>
      <c r="C544" s="6"/>
      <c r="D544" s="73">
        <v>50</v>
      </c>
      <c r="E544" s="65">
        <f t="shared" si="24"/>
        <v>57.766990291262132</v>
      </c>
      <c r="F544" s="63">
        <f t="shared" si="23"/>
        <v>58</v>
      </c>
    </row>
    <row r="545" spans="1:6" x14ac:dyDescent="0.4">
      <c r="A545" s="6" t="s">
        <v>432</v>
      </c>
      <c r="B545" s="7">
        <v>102</v>
      </c>
      <c r="C545" s="6"/>
      <c r="D545" s="73">
        <v>55</v>
      </c>
      <c r="E545" s="65">
        <f t="shared" si="24"/>
        <v>63.543689320388346</v>
      </c>
      <c r="F545" s="63">
        <f t="shared" si="23"/>
        <v>64</v>
      </c>
    </row>
    <row r="546" spans="1:6" x14ac:dyDescent="0.4">
      <c r="A546" s="6" t="s">
        <v>427</v>
      </c>
      <c r="B546" s="7">
        <v>101</v>
      </c>
      <c r="C546" s="6"/>
      <c r="D546" s="73">
        <v>60</v>
      </c>
      <c r="E546" s="65">
        <f t="shared" si="24"/>
        <v>69.320388349514559</v>
      </c>
      <c r="F546" s="63">
        <f t="shared" si="23"/>
        <v>69</v>
      </c>
    </row>
    <row r="547" spans="1:6" x14ac:dyDescent="0.4">
      <c r="A547" s="6" t="s">
        <v>428</v>
      </c>
      <c r="B547" s="7">
        <v>101</v>
      </c>
      <c r="C547" s="6"/>
      <c r="D547" s="73">
        <v>60</v>
      </c>
      <c r="E547" s="65">
        <f t="shared" si="24"/>
        <v>69.320388349514559</v>
      </c>
      <c r="F547" s="63">
        <f t="shared" si="23"/>
        <v>69</v>
      </c>
    </row>
    <row r="548" spans="1:6" x14ac:dyDescent="0.4">
      <c r="A548" s="6" t="s">
        <v>429</v>
      </c>
      <c r="B548" s="7">
        <v>101</v>
      </c>
      <c r="C548" s="6"/>
      <c r="D548" s="73">
        <v>60</v>
      </c>
      <c r="E548" s="65">
        <f t="shared" si="24"/>
        <v>69.320388349514559</v>
      </c>
      <c r="F548" s="63">
        <f t="shared" si="23"/>
        <v>69</v>
      </c>
    </row>
    <row r="549" spans="1:6" x14ac:dyDescent="0.4">
      <c r="A549" s="6" t="s">
        <v>1022</v>
      </c>
      <c r="B549" s="8">
        <v>101</v>
      </c>
      <c r="C549" s="6"/>
      <c r="D549" s="73">
        <v>65</v>
      </c>
      <c r="E549" s="65">
        <f t="shared" si="24"/>
        <v>75.097087378640779</v>
      </c>
      <c r="F549" s="63">
        <f t="shared" si="23"/>
        <v>75</v>
      </c>
    </row>
    <row r="550" spans="1:6" x14ac:dyDescent="0.4">
      <c r="A550" s="6" t="s">
        <v>5</v>
      </c>
      <c r="B550" s="8">
        <v>65</v>
      </c>
      <c r="C550" s="6"/>
      <c r="D550" s="73">
        <v>3</v>
      </c>
      <c r="E550" s="65">
        <f t="shared" si="24"/>
        <v>3.4660194174757279</v>
      </c>
      <c r="F550" s="63">
        <f t="shared" si="23"/>
        <v>3</v>
      </c>
    </row>
    <row r="551" spans="1:6" x14ac:dyDescent="0.4">
      <c r="A551" s="6" t="s">
        <v>1586</v>
      </c>
      <c r="B551" s="7" t="s">
        <v>1585</v>
      </c>
      <c r="C551" s="6"/>
      <c r="D551" s="73">
        <v>3</v>
      </c>
      <c r="E551" s="65">
        <f t="shared" si="24"/>
        <v>3.4660194174757279</v>
      </c>
      <c r="F551" s="63">
        <f t="shared" si="23"/>
        <v>3</v>
      </c>
    </row>
    <row r="552" spans="1:6" x14ac:dyDescent="0.4">
      <c r="A552" s="6" t="s">
        <v>1598</v>
      </c>
      <c r="B552" s="7">
        <v>68</v>
      </c>
      <c r="C552" s="6"/>
      <c r="D552" s="73">
        <v>7</v>
      </c>
      <c r="E552" s="65">
        <f t="shared" si="24"/>
        <v>8.0873786407766985</v>
      </c>
      <c r="F552" s="63">
        <f t="shared" si="23"/>
        <v>8</v>
      </c>
    </row>
    <row r="553" spans="1:6" x14ac:dyDescent="0.4">
      <c r="A553" s="6" t="s">
        <v>378</v>
      </c>
      <c r="B553" s="7">
        <v>94</v>
      </c>
      <c r="C553" s="6"/>
      <c r="D553" s="73">
        <v>15</v>
      </c>
      <c r="E553" s="65">
        <f t="shared" si="24"/>
        <v>17.33009708737864</v>
      </c>
      <c r="F553" s="63">
        <f t="shared" si="23"/>
        <v>17</v>
      </c>
    </row>
    <row r="554" spans="1:6" x14ac:dyDescent="0.4">
      <c r="A554" s="6" t="s">
        <v>379</v>
      </c>
      <c r="B554" s="7">
        <v>94</v>
      </c>
      <c r="C554" s="6"/>
      <c r="D554" s="73">
        <v>20</v>
      </c>
      <c r="E554" s="65">
        <f t="shared" si="24"/>
        <v>23.106796116504853</v>
      </c>
      <c r="F554" s="63">
        <f t="shared" si="23"/>
        <v>23</v>
      </c>
    </row>
    <row r="555" spans="1:6" x14ac:dyDescent="0.4">
      <c r="A555" s="9" t="s">
        <v>369</v>
      </c>
      <c r="B555" s="10">
        <v>93</v>
      </c>
      <c r="C555" s="9"/>
      <c r="D555" s="73">
        <v>30</v>
      </c>
      <c r="E555" s="65">
        <v>40</v>
      </c>
      <c r="F555" s="63">
        <v>40</v>
      </c>
    </row>
    <row r="556" spans="1:6" x14ac:dyDescent="0.4">
      <c r="A556" s="9" t="s">
        <v>372</v>
      </c>
      <c r="B556" s="10">
        <v>93</v>
      </c>
      <c r="C556" s="9"/>
      <c r="D556" s="73">
        <v>40</v>
      </c>
      <c r="E556" s="65">
        <f t="shared" ref="E556:E593" si="25">D556/10.3*G$2</f>
        <v>46.213592233009706</v>
      </c>
      <c r="F556" s="63">
        <f t="shared" si="23"/>
        <v>46</v>
      </c>
    </row>
    <row r="557" spans="1:6" x14ac:dyDescent="0.4">
      <c r="A557" s="6" t="s">
        <v>382</v>
      </c>
      <c r="B557" s="7" t="s">
        <v>1667</v>
      </c>
      <c r="C557" s="6"/>
      <c r="D557" s="73">
        <v>30</v>
      </c>
      <c r="E557" s="65">
        <f t="shared" si="25"/>
        <v>34.660194174757279</v>
      </c>
      <c r="F557" s="63">
        <f t="shared" si="23"/>
        <v>35</v>
      </c>
    </row>
    <row r="558" spans="1:6" x14ac:dyDescent="0.4">
      <c r="A558" s="11" t="s">
        <v>370</v>
      </c>
      <c r="B558" s="10">
        <v>93</v>
      </c>
      <c r="C558" s="6"/>
      <c r="D558" s="73">
        <v>50</v>
      </c>
      <c r="E558" s="65">
        <f t="shared" si="25"/>
        <v>57.766990291262132</v>
      </c>
      <c r="F558" s="63">
        <f t="shared" si="23"/>
        <v>58</v>
      </c>
    </row>
    <row r="559" spans="1:6" x14ac:dyDescent="0.4">
      <c r="A559" s="6" t="s">
        <v>371</v>
      </c>
      <c r="B559" s="10">
        <v>93</v>
      </c>
      <c r="C559" s="6"/>
      <c r="D559" s="73">
        <v>30</v>
      </c>
      <c r="E559" s="65">
        <f t="shared" si="25"/>
        <v>34.660194174757279</v>
      </c>
      <c r="F559" s="63">
        <f t="shared" si="23"/>
        <v>35</v>
      </c>
    </row>
    <row r="560" spans="1:6" x14ac:dyDescent="0.4">
      <c r="A560" s="6" t="s">
        <v>381</v>
      </c>
      <c r="B560" s="7">
        <v>95</v>
      </c>
      <c r="C560" s="6"/>
      <c r="D560" s="73">
        <v>35</v>
      </c>
      <c r="E560" s="65">
        <f t="shared" si="25"/>
        <v>40.436893203883493</v>
      </c>
      <c r="F560" s="63">
        <f t="shared" si="23"/>
        <v>40</v>
      </c>
    </row>
    <row r="561" spans="1:6" x14ac:dyDescent="0.4">
      <c r="A561" s="6" t="s">
        <v>383</v>
      </c>
      <c r="B561" s="7">
        <v>96</v>
      </c>
      <c r="C561" s="6"/>
      <c r="D561" s="73">
        <v>25</v>
      </c>
      <c r="E561" s="65">
        <f t="shared" si="25"/>
        <v>28.883495145631066</v>
      </c>
      <c r="F561" s="63">
        <f t="shared" si="23"/>
        <v>29</v>
      </c>
    </row>
    <row r="562" spans="1:6" x14ac:dyDescent="0.4">
      <c r="A562" s="6" t="s">
        <v>373</v>
      </c>
      <c r="B562" s="7">
        <v>93</v>
      </c>
      <c r="C562" s="6"/>
      <c r="D562" s="73">
        <v>50</v>
      </c>
      <c r="E562" s="65">
        <f t="shared" si="25"/>
        <v>57.766990291262132</v>
      </c>
      <c r="F562" s="63">
        <f t="shared" si="23"/>
        <v>58</v>
      </c>
    </row>
    <row r="563" spans="1:6" x14ac:dyDescent="0.4">
      <c r="A563" s="6" t="s">
        <v>374</v>
      </c>
      <c r="B563" s="7">
        <v>94</v>
      </c>
      <c r="C563" s="6"/>
      <c r="D563" s="73">
        <v>55</v>
      </c>
      <c r="E563" s="65">
        <f t="shared" si="25"/>
        <v>63.543689320388346</v>
      </c>
      <c r="F563" s="63">
        <f t="shared" si="23"/>
        <v>64</v>
      </c>
    </row>
    <row r="564" spans="1:6" x14ac:dyDescent="0.4">
      <c r="A564" s="6" t="s">
        <v>1593</v>
      </c>
      <c r="B564" s="7">
        <v>94</v>
      </c>
      <c r="C564" s="6"/>
      <c r="D564" s="73">
        <v>95</v>
      </c>
      <c r="E564" s="65">
        <f t="shared" si="25"/>
        <v>109.75728155339804</v>
      </c>
      <c r="F564" s="63">
        <f t="shared" si="23"/>
        <v>110</v>
      </c>
    </row>
    <row r="565" spans="1:6" x14ac:dyDescent="0.4">
      <c r="A565" s="6" t="s">
        <v>380</v>
      </c>
      <c r="B565" s="7">
        <v>95</v>
      </c>
      <c r="C565" s="6"/>
      <c r="D565" s="73">
        <v>55</v>
      </c>
      <c r="E565" s="65">
        <f t="shared" si="25"/>
        <v>63.543689320388346</v>
      </c>
      <c r="F565" s="63">
        <f t="shared" si="23"/>
        <v>64</v>
      </c>
    </row>
    <row r="566" spans="1:6" x14ac:dyDescent="0.4">
      <c r="A566" s="6" t="s">
        <v>540</v>
      </c>
      <c r="B566" s="7">
        <v>129</v>
      </c>
      <c r="C566" s="6"/>
      <c r="D566" s="73">
        <v>4</v>
      </c>
      <c r="E566" s="65">
        <f t="shared" si="25"/>
        <v>4.6213592233009706</v>
      </c>
      <c r="F566" s="63">
        <f t="shared" si="23"/>
        <v>5</v>
      </c>
    </row>
    <row r="567" spans="1:6" x14ac:dyDescent="0.4">
      <c r="A567" s="6" t="s">
        <v>275</v>
      </c>
      <c r="B567" s="8">
        <v>50</v>
      </c>
      <c r="C567" s="6" t="s">
        <v>217</v>
      </c>
      <c r="D567" s="73">
        <v>3</v>
      </c>
      <c r="E567" s="65">
        <f t="shared" si="25"/>
        <v>3.4660194174757279</v>
      </c>
      <c r="F567" s="63">
        <f t="shared" si="23"/>
        <v>3</v>
      </c>
    </row>
    <row r="568" spans="1:6" x14ac:dyDescent="0.4">
      <c r="A568" s="6" t="s">
        <v>275</v>
      </c>
      <c r="B568" s="8">
        <v>51</v>
      </c>
      <c r="C568" s="6" t="s">
        <v>218</v>
      </c>
      <c r="D568" s="73">
        <v>4</v>
      </c>
      <c r="E568" s="65">
        <f t="shared" si="25"/>
        <v>4.6213592233009706</v>
      </c>
      <c r="F568" s="63">
        <f t="shared" si="23"/>
        <v>5</v>
      </c>
    </row>
    <row r="569" spans="1:6" x14ac:dyDescent="0.4">
      <c r="A569" s="6" t="s">
        <v>275</v>
      </c>
      <c r="B569" s="8">
        <v>67</v>
      </c>
      <c r="C569" s="6" t="s">
        <v>276</v>
      </c>
      <c r="D569" s="73">
        <v>3</v>
      </c>
      <c r="E569" s="65">
        <f t="shared" si="25"/>
        <v>3.4660194174757279</v>
      </c>
      <c r="F569" s="63">
        <f t="shared" si="23"/>
        <v>3</v>
      </c>
    </row>
    <row r="570" spans="1:6" x14ac:dyDescent="0.4">
      <c r="A570" s="6" t="s">
        <v>275</v>
      </c>
      <c r="B570" s="8">
        <v>83</v>
      </c>
      <c r="C570" s="6" t="s">
        <v>327</v>
      </c>
      <c r="D570" s="73">
        <v>5</v>
      </c>
      <c r="E570" s="65">
        <f t="shared" si="25"/>
        <v>5.7766990291262132</v>
      </c>
      <c r="F570" s="63">
        <f t="shared" si="23"/>
        <v>6</v>
      </c>
    </row>
    <row r="571" spans="1:6" x14ac:dyDescent="0.4">
      <c r="A571" s="6" t="s">
        <v>977</v>
      </c>
      <c r="B571" s="7">
        <v>39</v>
      </c>
      <c r="C571" s="6"/>
      <c r="D571" s="73">
        <v>10</v>
      </c>
      <c r="E571" s="65">
        <f t="shared" si="25"/>
        <v>11.553398058252426</v>
      </c>
      <c r="F571" s="63">
        <f t="shared" si="23"/>
        <v>12</v>
      </c>
    </row>
    <row r="572" spans="1:6" x14ac:dyDescent="0.4">
      <c r="A572" s="6" t="s">
        <v>1091</v>
      </c>
      <c r="B572" s="7">
        <v>21</v>
      </c>
      <c r="C572" s="6"/>
      <c r="D572" s="73">
        <v>15</v>
      </c>
      <c r="E572" s="65">
        <f t="shared" si="25"/>
        <v>17.33009708737864</v>
      </c>
      <c r="F572" s="63">
        <f t="shared" si="23"/>
        <v>17</v>
      </c>
    </row>
    <row r="573" spans="1:6" x14ac:dyDescent="0.4">
      <c r="A573" s="6" t="s">
        <v>543</v>
      </c>
      <c r="B573" s="7">
        <v>130</v>
      </c>
      <c r="C573" s="6"/>
      <c r="D573" s="73">
        <v>8</v>
      </c>
      <c r="E573" s="65">
        <f t="shared" si="25"/>
        <v>9.2427184466019412</v>
      </c>
      <c r="F573" s="63">
        <f t="shared" si="23"/>
        <v>9</v>
      </c>
    </row>
    <row r="574" spans="1:6" x14ac:dyDescent="0.4">
      <c r="A574" s="6" t="s">
        <v>544</v>
      </c>
      <c r="B574" s="7">
        <v>130</v>
      </c>
      <c r="C574" s="6"/>
      <c r="D574" s="73">
        <v>7</v>
      </c>
      <c r="E574" s="65">
        <f t="shared" si="25"/>
        <v>8.0873786407766985</v>
      </c>
      <c r="F574" s="63">
        <f t="shared" si="23"/>
        <v>8</v>
      </c>
    </row>
    <row r="575" spans="1:6" x14ac:dyDescent="0.4">
      <c r="A575" s="6" t="s">
        <v>1063</v>
      </c>
      <c r="B575" s="7" t="s">
        <v>1059</v>
      </c>
      <c r="C575" s="6" t="s">
        <v>1060</v>
      </c>
      <c r="D575" s="73">
        <v>10</v>
      </c>
      <c r="E575" s="65">
        <f t="shared" si="25"/>
        <v>11.553398058252426</v>
      </c>
      <c r="F575" s="63">
        <f t="shared" si="23"/>
        <v>12</v>
      </c>
    </row>
    <row r="576" spans="1:6" x14ac:dyDescent="0.4">
      <c r="A576" s="6" t="s">
        <v>1064</v>
      </c>
      <c r="B576" s="7" t="s">
        <v>1059</v>
      </c>
      <c r="C576" s="6" t="s">
        <v>1065</v>
      </c>
      <c r="D576" s="73">
        <v>12</v>
      </c>
      <c r="E576" s="65">
        <f t="shared" si="25"/>
        <v>13.864077669902912</v>
      </c>
      <c r="F576" s="63">
        <f t="shared" si="23"/>
        <v>14</v>
      </c>
    </row>
    <row r="577" spans="1:6" x14ac:dyDescent="0.4">
      <c r="A577" s="6" t="s">
        <v>1061</v>
      </c>
      <c r="B577" s="7" t="s">
        <v>1059</v>
      </c>
      <c r="C577" s="6" t="s">
        <v>1060</v>
      </c>
      <c r="D577" s="73">
        <v>10</v>
      </c>
      <c r="E577" s="65">
        <f t="shared" si="25"/>
        <v>11.553398058252426</v>
      </c>
      <c r="F577" s="63">
        <f t="shared" si="23"/>
        <v>12</v>
      </c>
    </row>
    <row r="578" spans="1:6" x14ac:dyDescent="0.4">
      <c r="A578" s="6" t="s">
        <v>1073</v>
      </c>
      <c r="B578" s="7" t="s">
        <v>1071</v>
      </c>
      <c r="C578" s="6" t="s">
        <v>1072</v>
      </c>
      <c r="D578" s="73">
        <v>20</v>
      </c>
      <c r="E578" s="65">
        <f t="shared" si="25"/>
        <v>23.106796116504853</v>
      </c>
      <c r="F578" s="63">
        <f t="shared" ref="F578:F641" si="26">ROUND(E578,0)</f>
        <v>23</v>
      </c>
    </row>
    <row r="579" spans="1:6" x14ac:dyDescent="0.4">
      <c r="A579" s="6" t="s">
        <v>1070</v>
      </c>
      <c r="B579" s="7" t="s">
        <v>1071</v>
      </c>
      <c r="C579" s="6" t="s">
        <v>1072</v>
      </c>
      <c r="D579" s="73">
        <v>20</v>
      </c>
      <c r="E579" s="65">
        <f t="shared" si="25"/>
        <v>23.106796116504853</v>
      </c>
      <c r="F579" s="63">
        <f t="shared" si="26"/>
        <v>23</v>
      </c>
    </row>
    <row r="580" spans="1:6" x14ac:dyDescent="0.4">
      <c r="A580" s="6" t="s">
        <v>1062</v>
      </c>
      <c r="B580" s="7" t="s">
        <v>1059</v>
      </c>
      <c r="C580" s="6" t="s">
        <v>1060</v>
      </c>
      <c r="D580" s="73">
        <v>10</v>
      </c>
      <c r="E580" s="65">
        <f t="shared" si="25"/>
        <v>11.553398058252426</v>
      </c>
      <c r="F580" s="63">
        <f t="shared" si="26"/>
        <v>12</v>
      </c>
    </row>
    <row r="581" spans="1:6" x14ac:dyDescent="0.4">
      <c r="A581" s="6" t="s">
        <v>1066</v>
      </c>
      <c r="B581" s="7" t="s">
        <v>1059</v>
      </c>
      <c r="C581" s="6" t="s">
        <v>1067</v>
      </c>
      <c r="D581" s="73">
        <v>15</v>
      </c>
      <c r="E581" s="65">
        <f t="shared" si="25"/>
        <v>17.33009708737864</v>
      </c>
      <c r="F581" s="63">
        <f t="shared" si="26"/>
        <v>17</v>
      </c>
    </row>
    <row r="582" spans="1:6" x14ac:dyDescent="0.4">
      <c r="A582" s="6" t="s">
        <v>1084</v>
      </c>
      <c r="B582" s="7">
        <v>136</v>
      </c>
      <c r="C582" s="6"/>
      <c r="D582" s="73">
        <v>8</v>
      </c>
      <c r="E582" s="65">
        <f t="shared" si="25"/>
        <v>9.2427184466019412</v>
      </c>
      <c r="F582" s="63">
        <f t="shared" si="26"/>
        <v>9</v>
      </c>
    </row>
    <row r="583" spans="1:6" x14ac:dyDescent="0.4">
      <c r="A583" s="6" t="s">
        <v>1144</v>
      </c>
      <c r="B583" s="7" t="s">
        <v>882</v>
      </c>
      <c r="C583" s="6"/>
      <c r="D583" s="73">
        <v>1</v>
      </c>
      <c r="E583" s="65">
        <f t="shared" si="25"/>
        <v>1.1553398058252426</v>
      </c>
      <c r="F583" s="63">
        <f t="shared" si="26"/>
        <v>1</v>
      </c>
    </row>
    <row r="584" spans="1:6" x14ac:dyDescent="0.4">
      <c r="A584" s="6" t="s">
        <v>295</v>
      </c>
      <c r="B584" s="8">
        <v>74</v>
      </c>
      <c r="C584" s="6"/>
      <c r="D584" s="73">
        <v>1</v>
      </c>
      <c r="E584" s="65">
        <f t="shared" si="25"/>
        <v>1.1553398058252426</v>
      </c>
      <c r="F584" s="63">
        <f t="shared" si="26"/>
        <v>1</v>
      </c>
    </row>
    <row r="585" spans="1:6" x14ac:dyDescent="0.4">
      <c r="A585" s="6" t="s">
        <v>296</v>
      </c>
      <c r="B585" s="8">
        <v>74</v>
      </c>
      <c r="C585" s="6"/>
      <c r="D585" s="73">
        <v>1</v>
      </c>
      <c r="E585" s="65">
        <f t="shared" si="25"/>
        <v>1.1553398058252426</v>
      </c>
      <c r="F585" s="63">
        <f t="shared" si="26"/>
        <v>1</v>
      </c>
    </row>
    <row r="586" spans="1:6" x14ac:dyDescent="0.4">
      <c r="A586" s="6" t="s">
        <v>800</v>
      </c>
      <c r="B586" s="8">
        <v>27</v>
      </c>
      <c r="C586" s="6" t="s">
        <v>80</v>
      </c>
      <c r="D586" s="73">
        <v>25</v>
      </c>
      <c r="E586" s="65">
        <f t="shared" si="25"/>
        <v>28.883495145631066</v>
      </c>
      <c r="F586" s="63">
        <f t="shared" si="26"/>
        <v>29</v>
      </c>
    </row>
    <row r="587" spans="1:6" x14ac:dyDescent="0.4">
      <c r="A587" s="6" t="s">
        <v>774</v>
      </c>
      <c r="B587" s="7">
        <v>107</v>
      </c>
      <c r="C587" s="6" t="s">
        <v>1078</v>
      </c>
      <c r="D587" s="73">
        <v>6</v>
      </c>
      <c r="E587" s="65">
        <f t="shared" si="25"/>
        <v>6.9320388349514559</v>
      </c>
      <c r="F587" s="63">
        <f t="shared" si="26"/>
        <v>7</v>
      </c>
    </row>
    <row r="588" spans="1:6" x14ac:dyDescent="0.4">
      <c r="A588" s="6" t="s">
        <v>1076</v>
      </c>
      <c r="B588" s="7">
        <v>108</v>
      </c>
      <c r="C588" s="6" t="s">
        <v>1077</v>
      </c>
      <c r="D588" s="73">
        <v>10</v>
      </c>
      <c r="E588" s="65">
        <f t="shared" si="25"/>
        <v>11.553398058252426</v>
      </c>
      <c r="F588" s="63">
        <f t="shared" si="26"/>
        <v>12</v>
      </c>
    </row>
    <row r="589" spans="1:6" x14ac:dyDescent="0.4">
      <c r="A589" s="6" t="s">
        <v>776</v>
      </c>
      <c r="B589" s="7">
        <v>108</v>
      </c>
      <c r="C589" s="6" t="s">
        <v>775</v>
      </c>
      <c r="D589" s="73">
        <v>10</v>
      </c>
      <c r="E589" s="65">
        <f t="shared" si="25"/>
        <v>11.553398058252426</v>
      </c>
      <c r="F589" s="63">
        <f t="shared" si="26"/>
        <v>12</v>
      </c>
    </row>
    <row r="590" spans="1:6" x14ac:dyDescent="0.4">
      <c r="A590" s="6" t="s">
        <v>797</v>
      </c>
      <c r="B590" s="8">
        <v>27</v>
      </c>
      <c r="C590" s="6" t="s">
        <v>796</v>
      </c>
      <c r="D590" s="73">
        <v>5</v>
      </c>
      <c r="E590" s="65">
        <f t="shared" si="25"/>
        <v>5.7766990291262132</v>
      </c>
      <c r="F590" s="63">
        <f t="shared" si="26"/>
        <v>6</v>
      </c>
    </row>
    <row r="591" spans="1:6" x14ac:dyDescent="0.4">
      <c r="A591" s="6" t="s">
        <v>799</v>
      </c>
      <c r="B591" s="8">
        <v>27</v>
      </c>
      <c r="C591" s="6" t="s">
        <v>79</v>
      </c>
      <c r="D591" s="73">
        <v>20</v>
      </c>
      <c r="E591" s="65">
        <f t="shared" si="25"/>
        <v>23.106796116504853</v>
      </c>
      <c r="F591" s="63">
        <f t="shared" si="26"/>
        <v>23</v>
      </c>
    </row>
    <row r="592" spans="1:6" x14ac:dyDescent="0.4">
      <c r="A592" s="6" t="s">
        <v>798</v>
      </c>
      <c r="B592" s="8">
        <v>27</v>
      </c>
      <c r="C592" s="6" t="s">
        <v>773</v>
      </c>
      <c r="D592" s="73">
        <v>8</v>
      </c>
      <c r="E592" s="65">
        <f t="shared" si="25"/>
        <v>9.2427184466019412</v>
      </c>
      <c r="F592" s="63">
        <f t="shared" si="26"/>
        <v>9</v>
      </c>
    </row>
    <row r="593" spans="1:7" x14ac:dyDescent="0.4">
      <c r="A593" s="6" t="s">
        <v>803</v>
      </c>
      <c r="B593" s="8">
        <v>27</v>
      </c>
      <c r="C593" s="6" t="s">
        <v>804</v>
      </c>
      <c r="D593" s="73">
        <v>8</v>
      </c>
      <c r="E593" s="65">
        <f t="shared" si="25"/>
        <v>9.2427184466019412</v>
      </c>
      <c r="F593" s="63">
        <f t="shared" si="26"/>
        <v>9</v>
      </c>
    </row>
    <row r="594" spans="1:7" x14ac:dyDescent="0.4">
      <c r="A594" s="6" t="s">
        <v>805</v>
      </c>
      <c r="B594" s="8">
        <v>28</v>
      </c>
      <c r="C594" s="6" t="s">
        <v>771</v>
      </c>
      <c r="D594" s="73">
        <v>5</v>
      </c>
      <c r="E594" s="65">
        <v>10</v>
      </c>
      <c r="F594" s="63">
        <v>10</v>
      </c>
    </row>
    <row r="595" spans="1:7" x14ac:dyDescent="0.4">
      <c r="A595" s="6" t="s">
        <v>806</v>
      </c>
      <c r="B595" s="8">
        <v>28</v>
      </c>
      <c r="C595" s="6" t="s">
        <v>772</v>
      </c>
      <c r="D595" s="73">
        <v>7</v>
      </c>
      <c r="E595" s="65">
        <f t="shared" ref="E595:E604" si="27">D595/10.3*G$2</f>
        <v>8.0873786407766985</v>
      </c>
      <c r="F595" s="63">
        <f t="shared" si="26"/>
        <v>8</v>
      </c>
    </row>
    <row r="596" spans="1:7" x14ac:dyDescent="0.4">
      <c r="A596" s="6" t="s">
        <v>806</v>
      </c>
      <c r="B596" s="7">
        <v>124</v>
      </c>
      <c r="C596" s="6" t="s">
        <v>782</v>
      </c>
      <c r="D596" s="73">
        <v>10</v>
      </c>
      <c r="E596" s="65">
        <f t="shared" si="27"/>
        <v>11.553398058252426</v>
      </c>
      <c r="F596" s="63">
        <f t="shared" si="26"/>
        <v>12</v>
      </c>
    </row>
    <row r="597" spans="1:7" x14ac:dyDescent="0.4">
      <c r="A597" s="6" t="s">
        <v>326</v>
      </c>
      <c r="B597" s="8">
        <v>82</v>
      </c>
      <c r="C597" s="6"/>
      <c r="D597" s="73">
        <v>5</v>
      </c>
      <c r="E597" s="65">
        <f t="shared" si="27"/>
        <v>5.7766990291262132</v>
      </c>
      <c r="F597" s="63">
        <f t="shared" si="26"/>
        <v>6</v>
      </c>
    </row>
    <row r="598" spans="1:7" x14ac:dyDescent="0.4">
      <c r="A598" s="6" t="s">
        <v>614</v>
      </c>
      <c r="B598" s="8">
        <v>3</v>
      </c>
      <c r="C598" s="6" t="s">
        <v>615</v>
      </c>
      <c r="D598" s="73">
        <v>10</v>
      </c>
      <c r="E598" s="65">
        <f t="shared" si="27"/>
        <v>11.553398058252426</v>
      </c>
      <c r="F598" s="63">
        <f t="shared" si="26"/>
        <v>12</v>
      </c>
    </row>
    <row r="599" spans="1:7" x14ac:dyDescent="0.4">
      <c r="A599" s="6" t="s">
        <v>616</v>
      </c>
      <c r="B599" s="8">
        <v>3</v>
      </c>
      <c r="C599" s="6"/>
      <c r="D599" s="73">
        <v>10</v>
      </c>
      <c r="E599" s="65">
        <f t="shared" si="27"/>
        <v>11.553398058252426</v>
      </c>
      <c r="F599" s="63">
        <f t="shared" si="26"/>
        <v>12</v>
      </c>
    </row>
    <row r="600" spans="1:7" s="3" customFormat="1" x14ac:dyDescent="0.4">
      <c r="A600" s="6" t="s">
        <v>1671</v>
      </c>
      <c r="B600" s="7">
        <v>119</v>
      </c>
      <c r="C600" s="6"/>
      <c r="D600" s="73">
        <v>12</v>
      </c>
      <c r="E600" s="65">
        <f t="shared" si="27"/>
        <v>13.864077669902912</v>
      </c>
      <c r="F600" s="63">
        <v>20</v>
      </c>
      <c r="G600" s="62"/>
    </row>
    <row r="601" spans="1:7" s="3" customFormat="1" x14ac:dyDescent="0.4">
      <c r="A601" s="6" t="s">
        <v>1122</v>
      </c>
      <c r="B601" s="7">
        <v>119</v>
      </c>
      <c r="C601" s="6"/>
      <c r="D601" s="73">
        <v>12</v>
      </c>
      <c r="E601" s="65">
        <f t="shared" si="27"/>
        <v>13.864077669902912</v>
      </c>
      <c r="F601" s="63">
        <f t="shared" si="26"/>
        <v>14</v>
      </c>
      <c r="G601" s="62"/>
    </row>
    <row r="602" spans="1:7" x14ac:dyDescent="0.4">
      <c r="A602" s="6" t="s">
        <v>93</v>
      </c>
      <c r="B602" s="8">
        <v>30</v>
      </c>
      <c r="C602" s="6"/>
      <c r="D602" s="73">
        <v>15</v>
      </c>
      <c r="E602" s="65">
        <f t="shared" si="27"/>
        <v>17.33009708737864</v>
      </c>
      <c r="F602" s="63">
        <f t="shared" si="26"/>
        <v>17</v>
      </c>
    </row>
    <row r="603" spans="1:7" s="3" customFormat="1" x14ac:dyDescent="0.4">
      <c r="A603" s="6" t="s">
        <v>1015</v>
      </c>
      <c r="B603" s="7">
        <v>86</v>
      </c>
      <c r="C603" s="6"/>
      <c r="D603" s="73">
        <v>10</v>
      </c>
      <c r="E603" s="65">
        <f t="shared" si="27"/>
        <v>11.553398058252426</v>
      </c>
      <c r="F603" s="63">
        <f t="shared" si="26"/>
        <v>12</v>
      </c>
      <c r="G603" s="62"/>
    </row>
    <row r="604" spans="1:7" x14ac:dyDescent="0.4">
      <c r="A604" s="6" t="s">
        <v>159</v>
      </c>
      <c r="B604" s="8">
        <v>39</v>
      </c>
      <c r="C604" s="6"/>
      <c r="D604" s="73">
        <v>10</v>
      </c>
      <c r="E604" s="65">
        <f t="shared" si="27"/>
        <v>11.553398058252426</v>
      </c>
      <c r="F604" s="63">
        <f t="shared" si="26"/>
        <v>12</v>
      </c>
    </row>
    <row r="605" spans="1:7" s="4" customFormat="1" x14ac:dyDescent="0.4">
      <c r="A605" s="6" t="s">
        <v>1616</v>
      </c>
      <c r="B605" s="6" t="s">
        <v>1617</v>
      </c>
      <c r="C605" s="6"/>
      <c r="D605" s="73">
        <v>3</v>
      </c>
      <c r="E605" s="65">
        <v>3</v>
      </c>
      <c r="F605" s="63">
        <f t="shared" si="26"/>
        <v>3</v>
      </c>
      <c r="G605" s="61"/>
    </row>
    <row r="606" spans="1:7" x14ac:dyDescent="0.4">
      <c r="A606" s="6" t="s">
        <v>1590</v>
      </c>
      <c r="B606" s="7">
        <v>68</v>
      </c>
      <c r="C606" s="6" t="s">
        <v>1589</v>
      </c>
      <c r="D606" s="73">
        <v>10</v>
      </c>
      <c r="E606" s="65">
        <f t="shared" ref="E606:E637" si="28">D606/10.3*G$2</f>
        <v>11.553398058252426</v>
      </c>
      <c r="F606" s="63">
        <f t="shared" si="26"/>
        <v>12</v>
      </c>
    </row>
    <row r="607" spans="1:7" x14ac:dyDescent="0.4">
      <c r="A607" s="6" t="s">
        <v>399</v>
      </c>
      <c r="B607" s="7">
        <v>82</v>
      </c>
      <c r="C607" s="6"/>
      <c r="D607" s="73">
        <v>10</v>
      </c>
      <c r="E607" s="65">
        <f t="shared" si="28"/>
        <v>11.553398058252426</v>
      </c>
      <c r="F607" s="63">
        <f t="shared" si="26"/>
        <v>12</v>
      </c>
    </row>
    <row r="608" spans="1:7" x14ac:dyDescent="0.4">
      <c r="A608" s="6" t="s">
        <v>1018</v>
      </c>
      <c r="B608" s="7">
        <v>129</v>
      </c>
      <c r="C608" s="6" t="s">
        <v>1019</v>
      </c>
      <c r="D608" s="73">
        <v>10</v>
      </c>
      <c r="E608" s="65">
        <f t="shared" si="28"/>
        <v>11.553398058252426</v>
      </c>
      <c r="F608" s="63">
        <f t="shared" si="26"/>
        <v>12</v>
      </c>
    </row>
    <row r="609" spans="1:7" x14ac:dyDescent="0.4">
      <c r="A609" s="6" t="s">
        <v>485</v>
      </c>
      <c r="B609" s="7">
        <v>114</v>
      </c>
      <c r="C609" s="6"/>
      <c r="D609" s="73">
        <v>8</v>
      </c>
      <c r="E609" s="65">
        <f t="shared" si="28"/>
        <v>9.2427184466019412</v>
      </c>
      <c r="F609" s="63">
        <f t="shared" si="26"/>
        <v>9</v>
      </c>
    </row>
    <row r="610" spans="1:7" x14ac:dyDescent="0.4">
      <c r="A610" s="6" t="s">
        <v>487</v>
      </c>
      <c r="B610" s="7">
        <v>113</v>
      </c>
      <c r="C610" s="6"/>
      <c r="D610" s="73">
        <v>7</v>
      </c>
      <c r="E610" s="65">
        <f t="shared" si="28"/>
        <v>8.0873786407766985</v>
      </c>
      <c r="F610" s="63">
        <f t="shared" si="26"/>
        <v>8</v>
      </c>
    </row>
    <row r="611" spans="1:7" x14ac:dyDescent="0.4">
      <c r="A611" s="6" t="s">
        <v>486</v>
      </c>
      <c r="B611" s="7">
        <v>113</v>
      </c>
      <c r="C611" s="6"/>
      <c r="D611" s="73">
        <v>7</v>
      </c>
      <c r="E611" s="65">
        <f t="shared" si="28"/>
        <v>8.0873786407766985</v>
      </c>
      <c r="F611" s="63">
        <f t="shared" si="26"/>
        <v>8</v>
      </c>
    </row>
    <row r="612" spans="1:7" x14ac:dyDescent="0.4">
      <c r="A612" s="6" t="s">
        <v>1641</v>
      </c>
      <c r="B612" s="7">
        <v>116</v>
      </c>
      <c r="C612" s="6"/>
      <c r="D612" s="73">
        <v>5</v>
      </c>
      <c r="E612" s="65">
        <f t="shared" si="28"/>
        <v>5.7766990291262132</v>
      </c>
      <c r="F612" s="63">
        <f t="shared" si="26"/>
        <v>6</v>
      </c>
    </row>
    <row r="613" spans="1:7" x14ac:dyDescent="0.4">
      <c r="A613" s="57" t="s">
        <v>934</v>
      </c>
      <c r="B613" s="7">
        <v>73</v>
      </c>
      <c r="C613" s="6"/>
      <c r="D613" s="73">
        <v>5</v>
      </c>
      <c r="E613" s="65">
        <f t="shared" si="28"/>
        <v>5.7766990291262132</v>
      </c>
      <c r="F613" s="63">
        <f t="shared" si="26"/>
        <v>6</v>
      </c>
    </row>
    <row r="614" spans="1:7" x14ac:dyDescent="0.4">
      <c r="A614" s="6" t="s">
        <v>410</v>
      </c>
      <c r="B614" s="7">
        <v>100</v>
      </c>
      <c r="C614" s="6" t="s">
        <v>411</v>
      </c>
      <c r="D614" s="73">
        <v>5</v>
      </c>
      <c r="E614" s="65">
        <f t="shared" si="28"/>
        <v>5.7766990291262132</v>
      </c>
      <c r="F614" s="63">
        <f t="shared" si="26"/>
        <v>6</v>
      </c>
    </row>
    <row r="615" spans="1:7" x14ac:dyDescent="0.4">
      <c r="A615" s="6" t="s">
        <v>400</v>
      </c>
      <c r="B615" s="7">
        <v>99</v>
      </c>
      <c r="C615" s="6" t="s">
        <v>401</v>
      </c>
      <c r="D615" s="73">
        <v>8</v>
      </c>
      <c r="E615" s="65">
        <f t="shared" si="28"/>
        <v>9.2427184466019412</v>
      </c>
      <c r="F615" s="63">
        <f t="shared" si="26"/>
        <v>9</v>
      </c>
    </row>
    <row r="616" spans="1:7" x14ac:dyDescent="0.4">
      <c r="A616" s="6" t="s">
        <v>416</v>
      </c>
      <c r="B616" s="7">
        <v>100</v>
      </c>
      <c r="C616" s="6" t="s">
        <v>417</v>
      </c>
      <c r="D616" s="73">
        <v>10</v>
      </c>
      <c r="E616" s="65">
        <f t="shared" si="28"/>
        <v>11.553398058252426</v>
      </c>
      <c r="F616" s="63">
        <f t="shared" si="26"/>
        <v>12</v>
      </c>
    </row>
    <row r="617" spans="1:7" x14ac:dyDescent="0.4">
      <c r="A617" s="6" t="s">
        <v>484</v>
      </c>
      <c r="B617" s="7">
        <v>114</v>
      </c>
      <c r="C617" s="6"/>
      <c r="D617" s="73">
        <v>10</v>
      </c>
      <c r="E617" s="65">
        <f t="shared" si="28"/>
        <v>11.553398058252426</v>
      </c>
      <c r="F617" s="63">
        <f t="shared" si="26"/>
        <v>12</v>
      </c>
    </row>
    <row r="618" spans="1:7" x14ac:dyDescent="0.4">
      <c r="A618" s="6" t="s">
        <v>488</v>
      </c>
      <c r="B618" s="7">
        <v>114</v>
      </c>
      <c r="C618" s="6"/>
      <c r="D618" s="73">
        <v>7</v>
      </c>
      <c r="E618" s="65">
        <f t="shared" si="28"/>
        <v>8.0873786407766985</v>
      </c>
      <c r="F618" s="63">
        <f t="shared" si="26"/>
        <v>8</v>
      </c>
    </row>
    <row r="619" spans="1:7" x14ac:dyDescent="0.4">
      <c r="A619" s="6" t="s">
        <v>483</v>
      </c>
      <c r="B619" s="7">
        <v>114</v>
      </c>
      <c r="C619" s="6"/>
      <c r="D619" s="73">
        <v>10</v>
      </c>
      <c r="E619" s="65">
        <f t="shared" si="28"/>
        <v>11.553398058252426</v>
      </c>
      <c r="F619" s="63">
        <f t="shared" si="26"/>
        <v>12</v>
      </c>
    </row>
    <row r="620" spans="1:7" x14ac:dyDescent="0.4">
      <c r="A620" s="6" t="s">
        <v>936</v>
      </c>
      <c r="B620" s="7">
        <v>116</v>
      </c>
      <c r="C620" s="6"/>
      <c r="D620" s="73">
        <v>5</v>
      </c>
      <c r="E620" s="65">
        <f t="shared" si="28"/>
        <v>5.7766990291262132</v>
      </c>
      <c r="F620" s="63">
        <f t="shared" si="26"/>
        <v>6</v>
      </c>
    </row>
    <row r="621" spans="1:7" x14ac:dyDescent="0.4">
      <c r="A621" s="6" t="s">
        <v>1001</v>
      </c>
      <c r="B621" s="7">
        <v>129</v>
      </c>
      <c r="C621" s="6"/>
      <c r="D621" s="73">
        <v>15</v>
      </c>
      <c r="E621" s="65">
        <f t="shared" si="28"/>
        <v>17.33009708737864</v>
      </c>
      <c r="F621" s="63">
        <f t="shared" si="26"/>
        <v>17</v>
      </c>
    </row>
    <row r="622" spans="1:7" x14ac:dyDescent="0.4">
      <c r="A622" s="6" t="s">
        <v>1043</v>
      </c>
      <c r="B622" s="8">
        <v>66</v>
      </c>
      <c r="C622" s="6" t="s">
        <v>1042</v>
      </c>
      <c r="D622" s="73">
        <v>10</v>
      </c>
      <c r="E622" s="65">
        <f t="shared" si="28"/>
        <v>11.553398058252426</v>
      </c>
      <c r="F622" s="63">
        <f t="shared" si="26"/>
        <v>12</v>
      </c>
    </row>
    <row r="623" spans="1:7" x14ac:dyDescent="0.4">
      <c r="A623" s="6" t="s">
        <v>477</v>
      </c>
      <c r="B623" s="7">
        <v>114</v>
      </c>
      <c r="C623" s="6"/>
      <c r="D623" s="73">
        <v>15</v>
      </c>
      <c r="E623" s="65">
        <f t="shared" si="28"/>
        <v>17.33009708737864</v>
      </c>
      <c r="F623" s="63">
        <f t="shared" si="26"/>
        <v>17</v>
      </c>
    </row>
    <row r="624" spans="1:7" s="3" customFormat="1" x14ac:dyDescent="0.4">
      <c r="A624" s="6" t="s">
        <v>478</v>
      </c>
      <c r="B624" s="7">
        <v>114</v>
      </c>
      <c r="C624" s="6"/>
      <c r="D624" s="73">
        <v>15</v>
      </c>
      <c r="E624" s="65">
        <f t="shared" si="28"/>
        <v>17.33009708737864</v>
      </c>
      <c r="F624" s="63">
        <f t="shared" si="26"/>
        <v>17</v>
      </c>
      <c r="G624" s="62"/>
    </row>
    <row r="625" spans="1:7" x14ac:dyDescent="0.4">
      <c r="A625" s="6" t="s">
        <v>617</v>
      </c>
      <c r="B625" s="8">
        <v>3</v>
      </c>
      <c r="C625" s="6" t="s">
        <v>618</v>
      </c>
      <c r="D625" s="73">
        <v>10</v>
      </c>
      <c r="E625" s="65">
        <f t="shared" si="28"/>
        <v>11.553398058252426</v>
      </c>
      <c r="F625" s="63">
        <f t="shared" si="26"/>
        <v>12</v>
      </c>
    </row>
    <row r="626" spans="1:7" x14ac:dyDescent="0.4">
      <c r="A626" s="6" t="s">
        <v>479</v>
      </c>
      <c r="B626" s="7">
        <v>114</v>
      </c>
      <c r="C626" s="6"/>
      <c r="D626" s="73">
        <v>10</v>
      </c>
      <c r="E626" s="65">
        <f t="shared" si="28"/>
        <v>11.553398058252426</v>
      </c>
      <c r="F626" s="63">
        <f t="shared" si="26"/>
        <v>12</v>
      </c>
    </row>
    <row r="627" spans="1:7" x14ac:dyDescent="0.4">
      <c r="A627" s="6" t="s">
        <v>406</v>
      </c>
      <c r="B627" s="7">
        <v>99</v>
      </c>
      <c r="C627" s="6" t="s">
        <v>408</v>
      </c>
      <c r="D627" s="73">
        <v>10</v>
      </c>
      <c r="E627" s="65">
        <f t="shared" si="28"/>
        <v>11.553398058252426</v>
      </c>
      <c r="F627" s="63">
        <f t="shared" si="26"/>
        <v>12</v>
      </c>
    </row>
    <row r="628" spans="1:7" x14ac:dyDescent="0.4">
      <c r="A628" s="6" t="s">
        <v>482</v>
      </c>
      <c r="B628" s="7">
        <v>114</v>
      </c>
      <c r="C628" s="6"/>
      <c r="D628" s="73">
        <v>10</v>
      </c>
      <c r="E628" s="65">
        <f t="shared" si="28"/>
        <v>11.553398058252426</v>
      </c>
      <c r="F628" s="63">
        <f t="shared" si="26"/>
        <v>12</v>
      </c>
    </row>
    <row r="629" spans="1:7" x14ac:dyDescent="0.4">
      <c r="A629" s="6" t="s">
        <v>422</v>
      </c>
      <c r="B629" s="7">
        <v>100</v>
      </c>
      <c r="C629" s="6" t="s">
        <v>420</v>
      </c>
      <c r="D629" s="73">
        <v>15</v>
      </c>
      <c r="E629" s="65">
        <f t="shared" si="28"/>
        <v>17.33009708737864</v>
      </c>
      <c r="F629" s="63">
        <f t="shared" si="26"/>
        <v>17</v>
      </c>
    </row>
    <row r="630" spans="1:7" x14ac:dyDescent="0.4">
      <c r="A630" s="6" t="s">
        <v>1000</v>
      </c>
      <c r="B630" s="7">
        <v>129</v>
      </c>
      <c r="C630" s="6"/>
      <c r="D630" s="73">
        <v>10</v>
      </c>
      <c r="E630" s="65">
        <f t="shared" si="28"/>
        <v>11.553398058252426</v>
      </c>
      <c r="F630" s="63">
        <f t="shared" si="26"/>
        <v>12</v>
      </c>
    </row>
    <row r="631" spans="1:7" x14ac:dyDescent="0.4">
      <c r="A631" s="6" t="s">
        <v>976</v>
      </c>
      <c r="B631" s="7">
        <v>99</v>
      </c>
      <c r="C631" s="6"/>
      <c r="D631" s="73">
        <v>10</v>
      </c>
      <c r="E631" s="65">
        <f t="shared" si="28"/>
        <v>11.553398058252426</v>
      </c>
      <c r="F631" s="63">
        <f t="shared" si="26"/>
        <v>12</v>
      </c>
    </row>
    <row r="632" spans="1:7" s="3" customFormat="1" x14ac:dyDescent="0.4">
      <c r="A632" s="6" t="s">
        <v>968</v>
      </c>
      <c r="B632" s="8">
        <v>131</v>
      </c>
      <c r="C632" s="6"/>
      <c r="D632" s="73">
        <v>10</v>
      </c>
      <c r="E632" s="65">
        <f t="shared" si="28"/>
        <v>11.553398058252426</v>
      </c>
      <c r="F632" s="63">
        <f t="shared" si="26"/>
        <v>12</v>
      </c>
      <c r="G632" s="62"/>
    </row>
    <row r="633" spans="1:7" x14ac:dyDescent="0.4">
      <c r="A633" s="6" t="s">
        <v>967</v>
      </c>
      <c r="B633" s="8">
        <v>131</v>
      </c>
      <c r="C633" s="6"/>
      <c r="D633" s="73">
        <v>10</v>
      </c>
      <c r="E633" s="65">
        <f t="shared" si="28"/>
        <v>11.553398058252426</v>
      </c>
      <c r="F633" s="63">
        <f t="shared" si="26"/>
        <v>12</v>
      </c>
    </row>
    <row r="634" spans="1:7" x14ac:dyDescent="0.4">
      <c r="A634" s="6" t="s">
        <v>994</v>
      </c>
      <c r="B634" s="8">
        <v>131</v>
      </c>
      <c r="C634" s="6"/>
      <c r="D634" s="73">
        <v>10</v>
      </c>
      <c r="E634" s="65">
        <f t="shared" si="28"/>
        <v>11.553398058252426</v>
      </c>
      <c r="F634" s="63">
        <f t="shared" si="26"/>
        <v>12</v>
      </c>
    </row>
    <row r="635" spans="1:7" x14ac:dyDescent="0.4">
      <c r="A635" s="6" t="s">
        <v>418</v>
      </c>
      <c r="B635" s="7">
        <v>100</v>
      </c>
      <c r="C635" s="6" t="s">
        <v>419</v>
      </c>
      <c r="D635" s="73">
        <v>10</v>
      </c>
      <c r="E635" s="65">
        <f t="shared" si="28"/>
        <v>11.553398058252426</v>
      </c>
      <c r="F635" s="63">
        <f t="shared" si="26"/>
        <v>12</v>
      </c>
    </row>
    <row r="636" spans="1:7" x14ac:dyDescent="0.4">
      <c r="A636" s="6" t="s">
        <v>423</v>
      </c>
      <c r="B636" s="7">
        <v>100</v>
      </c>
      <c r="C636" s="6" t="s">
        <v>419</v>
      </c>
      <c r="D636" s="73">
        <v>12</v>
      </c>
      <c r="E636" s="65">
        <f t="shared" si="28"/>
        <v>13.864077669902912</v>
      </c>
      <c r="F636" s="63">
        <f t="shared" si="26"/>
        <v>14</v>
      </c>
    </row>
    <row r="637" spans="1:7" x14ac:dyDescent="0.4">
      <c r="A637" s="6" t="s">
        <v>415</v>
      </c>
      <c r="B637" s="7">
        <v>100</v>
      </c>
      <c r="C637" s="6" t="s">
        <v>414</v>
      </c>
      <c r="D637" s="73">
        <v>15</v>
      </c>
      <c r="E637" s="65">
        <f t="shared" si="28"/>
        <v>17.33009708737864</v>
      </c>
      <c r="F637" s="63">
        <f t="shared" si="26"/>
        <v>17</v>
      </c>
    </row>
    <row r="638" spans="1:7" x14ac:dyDescent="0.4">
      <c r="A638" s="6" t="s">
        <v>421</v>
      </c>
      <c r="B638" s="7">
        <v>100</v>
      </c>
      <c r="C638" s="6" t="s">
        <v>419</v>
      </c>
      <c r="D638" s="73">
        <v>12</v>
      </c>
      <c r="E638" s="65">
        <f t="shared" ref="E638:E669" si="29">D638/10.3*G$2</f>
        <v>13.864077669902912</v>
      </c>
      <c r="F638" s="63">
        <f t="shared" si="26"/>
        <v>14</v>
      </c>
    </row>
    <row r="639" spans="1:7" x14ac:dyDescent="0.4">
      <c r="A639" s="6" t="s">
        <v>1044</v>
      </c>
      <c r="B639" s="8">
        <v>66</v>
      </c>
      <c r="C639" s="6"/>
      <c r="D639" s="73">
        <v>12</v>
      </c>
      <c r="E639" s="65">
        <f t="shared" si="29"/>
        <v>13.864077669902912</v>
      </c>
      <c r="F639" s="63">
        <f t="shared" si="26"/>
        <v>14</v>
      </c>
    </row>
    <row r="640" spans="1:7" x14ac:dyDescent="0.4">
      <c r="A640" s="6" t="s">
        <v>1004</v>
      </c>
      <c r="B640" s="7">
        <v>100</v>
      </c>
      <c r="C640" s="6" t="s">
        <v>425</v>
      </c>
      <c r="D640" s="73">
        <v>10</v>
      </c>
      <c r="E640" s="65">
        <f t="shared" si="29"/>
        <v>11.553398058252426</v>
      </c>
      <c r="F640" s="63">
        <f t="shared" si="26"/>
        <v>12</v>
      </c>
    </row>
    <row r="641" spans="1:6" x14ac:dyDescent="0.4">
      <c r="A641" s="6" t="s">
        <v>1572</v>
      </c>
      <c r="B641" s="7">
        <v>115</v>
      </c>
      <c r="C641" s="6"/>
      <c r="D641" s="73">
        <v>15</v>
      </c>
      <c r="E641" s="65">
        <f t="shared" si="29"/>
        <v>17.33009708737864</v>
      </c>
      <c r="F641" s="63">
        <f t="shared" si="26"/>
        <v>17</v>
      </c>
    </row>
    <row r="642" spans="1:6" x14ac:dyDescent="0.4">
      <c r="A642" s="6" t="s">
        <v>1579</v>
      </c>
      <c r="B642" s="7">
        <v>120</v>
      </c>
      <c r="C642" s="6"/>
      <c r="D642" s="73">
        <v>12</v>
      </c>
      <c r="E642" s="65">
        <f t="shared" si="29"/>
        <v>13.864077669902912</v>
      </c>
      <c r="F642" s="63">
        <f t="shared" ref="F642:F705" si="30">ROUND(E642,0)</f>
        <v>14</v>
      </c>
    </row>
    <row r="643" spans="1:6" x14ac:dyDescent="0.4">
      <c r="A643" s="6" t="s">
        <v>389</v>
      </c>
      <c r="B643" s="7">
        <v>97</v>
      </c>
      <c r="C643" s="6"/>
      <c r="D643" s="73">
        <v>6</v>
      </c>
      <c r="E643" s="65">
        <f t="shared" si="29"/>
        <v>6.9320388349514559</v>
      </c>
      <c r="F643" s="63">
        <f t="shared" si="30"/>
        <v>7</v>
      </c>
    </row>
    <row r="644" spans="1:6" x14ac:dyDescent="0.4">
      <c r="A644" s="6" t="s">
        <v>404</v>
      </c>
      <c r="B644" s="7">
        <v>99</v>
      </c>
      <c r="C644" s="6" t="s">
        <v>405</v>
      </c>
      <c r="D644" s="73">
        <v>10</v>
      </c>
      <c r="E644" s="65">
        <f t="shared" si="29"/>
        <v>11.553398058252426</v>
      </c>
      <c r="F644" s="63">
        <f t="shared" si="30"/>
        <v>12</v>
      </c>
    </row>
    <row r="645" spans="1:6" x14ac:dyDescent="0.4">
      <c r="A645" s="6" t="s">
        <v>517</v>
      </c>
      <c r="B645" s="7">
        <v>113</v>
      </c>
      <c r="C645" s="6"/>
      <c r="D645" s="73">
        <v>5</v>
      </c>
      <c r="E645" s="65">
        <f t="shared" si="29"/>
        <v>5.7766990291262132</v>
      </c>
      <c r="F645" s="63">
        <f t="shared" si="30"/>
        <v>6</v>
      </c>
    </row>
    <row r="646" spans="1:6" x14ac:dyDescent="0.4">
      <c r="A646" s="6" t="s">
        <v>1034</v>
      </c>
      <c r="B646" s="8">
        <v>92</v>
      </c>
      <c r="C646" s="6"/>
      <c r="D646" s="73">
        <v>5</v>
      </c>
      <c r="E646" s="65">
        <f t="shared" si="29"/>
        <v>5.7766990291262132</v>
      </c>
      <c r="F646" s="63">
        <f t="shared" si="30"/>
        <v>6</v>
      </c>
    </row>
    <row r="647" spans="1:6" x14ac:dyDescent="0.4">
      <c r="A647" s="6" t="s">
        <v>1045</v>
      </c>
      <c r="B647" s="8">
        <v>109</v>
      </c>
      <c r="C647" s="6"/>
      <c r="D647" s="73">
        <v>5</v>
      </c>
      <c r="E647" s="65">
        <f t="shared" si="29"/>
        <v>5.7766990291262132</v>
      </c>
      <c r="F647" s="63">
        <f t="shared" si="30"/>
        <v>6</v>
      </c>
    </row>
    <row r="648" spans="1:6" x14ac:dyDescent="0.4">
      <c r="A648" s="6" t="s">
        <v>1569</v>
      </c>
      <c r="B648" s="7">
        <v>115</v>
      </c>
      <c r="C648" s="6"/>
      <c r="D648" s="73">
        <v>15</v>
      </c>
      <c r="E648" s="65">
        <f t="shared" si="29"/>
        <v>17.33009708737864</v>
      </c>
      <c r="F648" s="63">
        <f t="shared" si="30"/>
        <v>17</v>
      </c>
    </row>
    <row r="649" spans="1:6" x14ac:dyDescent="0.4">
      <c r="A649" s="6" t="s">
        <v>1041</v>
      </c>
      <c r="B649" s="8">
        <v>66</v>
      </c>
      <c r="C649" s="6"/>
      <c r="D649" s="73">
        <v>15</v>
      </c>
      <c r="E649" s="65">
        <f t="shared" si="29"/>
        <v>17.33009708737864</v>
      </c>
      <c r="F649" s="63">
        <f t="shared" si="30"/>
        <v>17</v>
      </c>
    </row>
    <row r="650" spans="1:6" x14ac:dyDescent="0.4">
      <c r="A650" s="6" t="s">
        <v>1573</v>
      </c>
      <c r="B650" s="7">
        <v>115</v>
      </c>
      <c r="C650" s="6"/>
      <c r="D650" s="73">
        <v>10</v>
      </c>
      <c r="E650" s="65">
        <f t="shared" si="29"/>
        <v>11.553398058252426</v>
      </c>
      <c r="F650" s="63">
        <f t="shared" si="30"/>
        <v>12</v>
      </c>
    </row>
    <row r="651" spans="1:6" x14ac:dyDescent="0.4">
      <c r="A651" s="6" t="s">
        <v>1612</v>
      </c>
      <c r="B651" s="7">
        <v>131</v>
      </c>
      <c r="C651" s="6"/>
      <c r="D651" s="73">
        <v>10</v>
      </c>
      <c r="E651" s="65">
        <f t="shared" si="29"/>
        <v>11.553398058252426</v>
      </c>
      <c r="F651" s="63">
        <f t="shared" si="30"/>
        <v>12</v>
      </c>
    </row>
    <row r="652" spans="1:6" x14ac:dyDescent="0.4">
      <c r="A652" s="6" t="s">
        <v>397</v>
      </c>
      <c r="B652" s="7">
        <v>99</v>
      </c>
      <c r="C652" s="6"/>
      <c r="D652" s="73">
        <v>7</v>
      </c>
      <c r="E652" s="65">
        <f t="shared" si="29"/>
        <v>8.0873786407766985</v>
      </c>
      <c r="F652" s="63">
        <f t="shared" si="30"/>
        <v>8</v>
      </c>
    </row>
    <row r="653" spans="1:6" x14ac:dyDescent="0.4">
      <c r="A653" s="6" t="s">
        <v>473</v>
      </c>
      <c r="B653" s="7">
        <v>113</v>
      </c>
      <c r="C653" s="6" t="s">
        <v>474</v>
      </c>
      <c r="D653" s="73">
        <v>7</v>
      </c>
      <c r="E653" s="65">
        <f t="shared" si="29"/>
        <v>8.0873786407766985</v>
      </c>
      <c r="F653" s="63">
        <f t="shared" si="30"/>
        <v>8</v>
      </c>
    </row>
    <row r="654" spans="1:6" x14ac:dyDescent="0.4">
      <c r="A654" s="6" t="s">
        <v>385</v>
      </c>
      <c r="B654" s="7">
        <v>97</v>
      </c>
      <c r="C654" s="6" t="s">
        <v>386</v>
      </c>
      <c r="D654" s="73">
        <v>10</v>
      </c>
      <c r="E654" s="65">
        <f t="shared" si="29"/>
        <v>11.553398058252426</v>
      </c>
      <c r="F654" s="63">
        <f t="shared" si="30"/>
        <v>12</v>
      </c>
    </row>
    <row r="655" spans="1:6" x14ac:dyDescent="0.4">
      <c r="A655" s="6" t="s">
        <v>619</v>
      </c>
      <c r="B655" s="8">
        <v>3</v>
      </c>
      <c r="C655" s="6" t="s">
        <v>618</v>
      </c>
      <c r="D655" s="73">
        <v>10</v>
      </c>
      <c r="E655" s="65">
        <f t="shared" si="29"/>
        <v>11.553398058252426</v>
      </c>
      <c r="F655" s="63">
        <f t="shared" si="30"/>
        <v>12</v>
      </c>
    </row>
    <row r="656" spans="1:6" x14ac:dyDescent="0.4">
      <c r="A656" s="6" t="s">
        <v>1003</v>
      </c>
      <c r="B656" s="7">
        <v>99</v>
      </c>
      <c r="C656" s="6"/>
      <c r="D656" s="73">
        <v>7</v>
      </c>
      <c r="E656" s="65">
        <f t="shared" si="29"/>
        <v>8.0873786407766985</v>
      </c>
      <c r="F656" s="63">
        <f t="shared" si="30"/>
        <v>8</v>
      </c>
    </row>
    <row r="657" spans="1:7" x14ac:dyDescent="0.4">
      <c r="A657" s="6" t="s">
        <v>424</v>
      </c>
      <c r="B657" s="7">
        <v>100</v>
      </c>
      <c r="C657" s="6" t="s">
        <v>419</v>
      </c>
      <c r="D657" s="73">
        <v>7</v>
      </c>
      <c r="E657" s="65">
        <f t="shared" si="29"/>
        <v>8.0873786407766985</v>
      </c>
      <c r="F657" s="63">
        <f t="shared" si="30"/>
        <v>8</v>
      </c>
    </row>
    <row r="658" spans="1:7" x14ac:dyDescent="0.4">
      <c r="A658" s="6" t="s">
        <v>1568</v>
      </c>
      <c r="B658" s="7">
        <v>115</v>
      </c>
      <c r="C658" s="6"/>
      <c r="D658" s="73">
        <v>12</v>
      </c>
      <c r="E658" s="65">
        <f t="shared" si="29"/>
        <v>13.864077669902912</v>
      </c>
      <c r="F658" s="63">
        <f t="shared" si="30"/>
        <v>14</v>
      </c>
    </row>
    <row r="659" spans="1:7" x14ac:dyDescent="0.4">
      <c r="A659" s="6" t="s">
        <v>398</v>
      </c>
      <c r="B659" s="7">
        <v>99</v>
      </c>
      <c r="C659" s="6"/>
      <c r="D659" s="73">
        <v>7</v>
      </c>
      <c r="E659" s="65">
        <f t="shared" si="29"/>
        <v>8.0873786407766985</v>
      </c>
      <c r="F659" s="63">
        <f t="shared" si="30"/>
        <v>8</v>
      </c>
    </row>
    <row r="660" spans="1:7" x14ac:dyDescent="0.4">
      <c r="A660" s="6" t="s">
        <v>1576</v>
      </c>
      <c r="B660" s="7">
        <v>115</v>
      </c>
      <c r="C660" s="6"/>
      <c r="D660" s="73">
        <v>3</v>
      </c>
      <c r="E660" s="65">
        <f t="shared" si="29"/>
        <v>3.4660194174757279</v>
      </c>
      <c r="F660" s="63">
        <f t="shared" si="30"/>
        <v>3</v>
      </c>
    </row>
    <row r="661" spans="1:7" x14ac:dyDescent="0.4">
      <c r="A661" s="6" t="s">
        <v>407</v>
      </c>
      <c r="B661" s="7">
        <v>99</v>
      </c>
      <c r="C661" s="6" t="s">
        <v>409</v>
      </c>
      <c r="D661" s="73">
        <v>10</v>
      </c>
      <c r="E661" s="65">
        <f t="shared" si="29"/>
        <v>11.553398058252426</v>
      </c>
      <c r="F661" s="63">
        <f t="shared" si="30"/>
        <v>12</v>
      </c>
    </row>
    <row r="662" spans="1:7" x14ac:dyDescent="0.4">
      <c r="A662" s="6" t="s">
        <v>402</v>
      </c>
      <c r="B662" s="7">
        <v>99</v>
      </c>
      <c r="C662" s="6" t="s">
        <v>403</v>
      </c>
      <c r="D662" s="73">
        <v>10</v>
      </c>
      <c r="E662" s="65">
        <f t="shared" si="29"/>
        <v>11.553398058252426</v>
      </c>
      <c r="F662" s="63">
        <f t="shared" si="30"/>
        <v>12</v>
      </c>
    </row>
    <row r="663" spans="1:7" x14ac:dyDescent="0.4">
      <c r="A663" s="6" t="s">
        <v>480</v>
      </c>
      <c r="B663" s="7">
        <v>114</v>
      </c>
      <c r="C663" s="6" t="s">
        <v>481</v>
      </c>
      <c r="D663" s="73">
        <v>15</v>
      </c>
      <c r="E663" s="65">
        <f t="shared" si="29"/>
        <v>17.33009708737864</v>
      </c>
      <c r="F663" s="63">
        <f t="shared" si="30"/>
        <v>17</v>
      </c>
    </row>
    <row r="664" spans="1:7" x14ac:dyDescent="0.4">
      <c r="A664" s="6" t="s">
        <v>510</v>
      </c>
      <c r="B664" s="7">
        <v>119</v>
      </c>
      <c r="C664" s="6"/>
      <c r="D664" s="73">
        <v>7</v>
      </c>
      <c r="E664" s="65">
        <f t="shared" si="29"/>
        <v>8.0873786407766985</v>
      </c>
      <c r="F664" s="63">
        <f t="shared" si="30"/>
        <v>8</v>
      </c>
    </row>
    <row r="665" spans="1:7" x14ac:dyDescent="0.4">
      <c r="A665" s="6" t="s">
        <v>993</v>
      </c>
      <c r="B665" s="8">
        <v>131</v>
      </c>
      <c r="C665" s="6"/>
      <c r="D665" s="73">
        <v>10</v>
      </c>
      <c r="E665" s="65">
        <f t="shared" si="29"/>
        <v>11.553398058252426</v>
      </c>
      <c r="F665" s="63">
        <f t="shared" si="30"/>
        <v>12</v>
      </c>
    </row>
    <row r="666" spans="1:7" x14ac:dyDescent="0.4">
      <c r="A666" s="6" t="s">
        <v>1570</v>
      </c>
      <c r="B666" s="7">
        <v>115</v>
      </c>
      <c r="C666" s="6"/>
      <c r="D666" s="73">
        <v>5</v>
      </c>
      <c r="E666" s="65">
        <f t="shared" si="29"/>
        <v>5.7766990291262132</v>
      </c>
      <c r="F666" s="63">
        <f t="shared" si="30"/>
        <v>6</v>
      </c>
    </row>
    <row r="667" spans="1:7" s="3" customFormat="1" x14ac:dyDescent="0.4">
      <c r="A667" s="6" t="s">
        <v>1575</v>
      </c>
      <c r="B667" s="7">
        <v>115</v>
      </c>
      <c r="C667" s="6"/>
      <c r="D667" s="73">
        <v>3</v>
      </c>
      <c r="E667" s="65">
        <f t="shared" si="29"/>
        <v>3.4660194174757279</v>
      </c>
      <c r="F667" s="63">
        <f t="shared" si="30"/>
        <v>3</v>
      </c>
      <c r="G667" s="62"/>
    </row>
    <row r="668" spans="1:7" s="3" customFormat="1" x14ac:dyDescent="0.4">
      <c r="A668" s="6" t="s">
        <v>1131</v>
      </c>
      <c r="B668" s="7">
        <v>82</v>
      </c>
      <c r="C668" s="6"/>
      <c r="D668" s="73">
        <v>5</v>
      </c>
      <c r="E668" s="65">
        <f t="shared" si="29"/>
        <v>5.7766990291262132</v>
      </c>
      <c r="F668" s="63">
        <f t="shared" si="30"/>
        <v>6</v>
      </c>
      <c r="G668" s="62"/>
    </row>
    <row r="669" spans="1:7" x14ac:dyDescent="0.4">
      <c r="A669" s="6" t="s">
        <v>541</v>
      </c>
      <c r="B669" s="7">
        <v>130</v>
      </c>
      <c r="C669" s="6"/>
      <c r="D669" s="73">
        <v>5</v>
      </c>
      <c r="E669" s="65">
        <f t="shared" si="29"/>
        <v>5.7766990291262132</v>
      </c>
      <c r="F669" s="63">
        <f t="shared" si="30"/>
        <v>6</v>
      </c>
    </row>
    <row r="670" spans="1:7" x14ac:dyDescent="0.4">
      <c r="A670" s="6" t="s">
        <v>1571</v>
      </c>
      <c r="B670" s="7">
        <v>115</v>
      </c>
      <c r="C670" s="6"/>
      <c r="D670" s="73">
        <v>15</v>
      </c>
      <c r="E670" s="65">
        <f t="shared" ref="E670:E701" si="31">D670/10.3*G$2</f>
        <v>17.33009708737864</v>
      </c>
      <c r="F670" s="63">
        <f t="shared" si="30"/>
        <v>17</v>
      </c>
    </row>
    <row r="671" spans="1:7" x14ac:dyDescent="0.4">
      <c r="A671" s="6" t="s">
        <v>946</v>
      </c>
      <c r="B671" s="8">
        <v>116</v>
      </c>
      <c r="C671" s="6" t="s">
        <v>945</v>
      </c>
      <c r="D671" s="73">
        <v>7</v>
      </c>
      <c r="E671" s="65">
        <f t="shared" si="31"/>
        <v>8.0873786407766985</v>
      </c>
      <c r="F671" s="63">
        <f t="shared" si="30"/>
        <v>8</v>
      </c>
    </row>
    <row r="672" spans="1:7" s="3" customFormat="1" x14ac:dyDescent="0.4">
      <c r="A672" s="6" t="s">
        <v>1111</v>
      </c>
      <c r="B672" s="7">
        <v>129</v>
      </c>
      <c r="C672" s="6" t="s">
        <v>1110</v>
      </c>
      <c r="D672" s="73">
        <v>12</v>
      </c>
      <c r="E672" s="65">
        <f t="shared" si="31"/>
        <v>13.864077669902912</v>
      </c>
      <c r="F672" s="63">
        <f t="shared" si="30"/>
        <v>14</v>
      </c>
      <c r="G672" s="62"/>
    </row>
    <row r="673" spans="1:7" s="3" customFormat="1" x14ac:dyDescent="0.4">
      <c r="A673" s="6" t="s">
        <v>1049</v>
      </c>
      <c r="B673" s="8">
        <v>97</v>
      </c>
      <c r="C673" s="6"/>
      <c r="D673" s="73">
        <v>5</v>
      </c>
      <c r="E673" s="65">
        <f t="shared" si="31"/>
        <v>5.7766990291262132</v>
      </c>
      <c r="F673" s="63">
        <f t="shared" si="30"/>
        <v>6</v>
      </c>
      <c r="G673" s="62"/>
    </row>
    <row r="674" spans="1:7" x14ac:dyDescent="0.4">
      <c r="A674" s="6" t="s">
        <v>390</v>
      </c>
      <c r="B674" s="7">
        <v>97</v>
      </c>
      <c r="C674" s="6"/>
      <c r="D674" s="73">
        <v>5</v>
      </c>
      <c r="E674" s="65">
        <f t="shared" si="31"/>
        <v>5.7766990291262132</v>
      </c>
      <c r="F674" s="63">
        <f t="shared" si="30"/>
        <v>6</v>
      </c>
    </row>
    <row r="675" spans="1:7" x14ac:dyDescent="0.4">
      <c r="A675" s="6" t="s">
        <v>387</v>
      </c>
      <c r="B675" s="7">
        <v>97</v>
      </c>
      <c r="C675" s="6"/>
      <c r="D675" s="73">
        <v>6</v>
      </c>
      <c r="E675" s="65">
        <f t="shared" si="31"/>
        <v>6.9320388349514559</v>
      </c>
      <c r="F675" s="63">
        <f t="shared" si="30"/>
        <v>7</v>
      </c>
    </row>
    <row r="676" spans="1:7" x14ac:dyDescent="0.4">
      <c r="A676" s="6" t="s">
        <v>388</v>
      </c>
      <c r="B676" s="7">
        <v>97</v>
      </c>
      <c r="C676" s="6"/>
      <c r="D676" s="73">
        <v>7</v>
      </c>
      <c r="E676" s="65">
        <f t="shared" si="31"/>
        <v>8.0873786407766985</v>
      </c>
      <c r="F676" s="63">
        <f t="shared" si="30"/>
        <v>8</v>
      </c>
    </row>
    <row r="677" spans="1:7" x14ac:dyDescent="0.4">
      <c r="A677" s="6" t="s">
        <v>412</v>
      </c>
      <c r="B677" s="7">
        <v>100</v>
      </c>
      <c r="C677" s="6" t="s">
        <v>413</v>
      </c>
      <c r="D677" s="73">
        <v>10</v>
      </c>
      <c r="E677" s="65">
        <f t="shared" si="31"/>
        <v>11.553398058252426</v>
      </c>
      <c r="F677" s="63">
        <f t="shared" si="30"/>
        <v>12</v>
      </c>
    </row>
    <row r="678" spans="1:7" x14ac:dyDescent="0.4">
      <c r="A678" s="6" t="s">
        <v>1591</v>
      </c>
      <c r="B678" s="7">
        <v>68</v>
      </c>
      <c r="C678" s="6" t="s">
        <v>1592</v>
      </c>
      <c r="D678" s="73">
        <v>10</v>
      </c>
      <c r="E678" s="65">
        <f t="shared" si="31"/>
        <v>11.553398058252426</v>
      </c>
      <c r="F678" s="63">
        <f t="shared" si="30"/>
        <v>12</v>
      </c>
    </row>
    <row r="679" spans="1:7" s="3" customFormat="1" x14ac:dyDescent="0.4">
      <c r="A679" s="6" t="s">
        <v>1595</v>
      </c>
      <c r="B679" s="7">
        <v>111</v>
      </c>
      <c r="C679" s="6" t="s">
        <v>1596</v>
      </c>
      <c r="D679" s="73">
        <v>25</v>
      </c>
      <c r="E679" s="65">
        <f t="shared" si="31"/>
        <v>28.883495145631066</v>
      </c>
      <c r="F679" s="63">
        <f t="shared" si="30"/>
        <v>29</v>
      </c>
      <c r="G679" s="62"/>
    </row>
    <row r="680" spans="1:7" s="4" customFormat="1" x14ac:dyDescent="0.4">
      <c r="A680" s="6" t="s">
        <v>282</v>
      </c>
      <c r="B680" s="8">
        <v>71</v>
      </c>
      <c r="C680" s="6"/>
      <c r="D680" s="73">
        <v>10</v>
      </c>
      <c r="E680" s="65">
        <f t="shared" si="31"/>
        <v>11.553398058252426</v>
      </c>
      <c r="F680" s="63">
        <f t="shared" si="30"/>
        <v>12</v>
      </c>
      <c r="G680" s="61"/>
    </row>
    <row r="681" spans="1:7" s="4" customFormat="1" x14ac:dyDescent="0.4">
      <c r="A681" s="6" t="s">
        <v>1583</v>
      </c>
      <c r="B681" s="7">
        <v>43</v>
      </c>
      <c r="C681" s="6"/>
      <c r="D681" s="73">
        <v>65</v>
      </c>
      <c r="E681" s="65">
        <f t="shared" si="31"/>
        <v>75.097087378640779</v>
      </c>
      <c r="F681" s="63">
        <f t="shared" si="30"/>
        <v>75</v>
      </c>
      <c r="G681" s="61"/>
    </row>
    <row r="682" spans="1:7" x14ac:dyDescent="0.4">
      <c r="A682" s="6" t="s">
        <v>564</v>
      </c>
      <c r="B682" s="7">
        <v>135</v>
      </c>
      <c r="C682" s="6"/>
      <c r="D682" s="73">
        <v>10</v>
      </c>
      <c r="E682" s="65">
        <f t="shared" si="31"/>
        <v>11.553398058252426</v>
      </c>
      <c r="F682" s="63">
        <f t="shared" si="30"/>
        <v>12</v>
      </c>
    </row>
    <row r="683" spans="1:7" x14ac:dyDescent="0.4">
      <c r="A683" s="6" t="s">
        <v>229</v>
      </c>
      <c r="B683" s="8">
        <v>55</v>
      </c>
      <c r="C683" s="6"/>
      <c r="D683" s="73">
        <v>40</v>
      </c>
      <c r="E683" s="65">
        <f t="shared" si="31"/>
        <v>46.213592233009706</v>
      </c>
      <c r="F683" s="63">
        <f t="shared" si="30"/>
        <v>46</v>
      </c>
    </row>
    <row r="684" spans="1:7" x14ac:dyDescent="0.4">
      <c r="A684" s="6" t="s">
        <v>230</v>
      </c>
      <c r="B684" s="8">
        <v>55</v>
      </c>
      <c r="C684" s="6"/>
      <c r="D684" s="73">
        <v>40</v>
      </c>
      <c r="E684" s="65">
        <f t="shared" si="31"/>
        <v>46.213592233009706</v>
      </c>
      <c r="F684" s="63">
        <f t="shared" si="30"/>
        <v>46</v>
      </c>
    </row>
    <row r="685" spans="1:7" s="3" customFormat="1" x14ac:dyDescent="0.4">
      <c r="A685" s="6" t="s">
        <v>231</v>
      </c>
      <c r="B685" s="8">
        <v>55</v>
      </c>
      <c r="C685" s="6"/>
      <c r="D685" s="73">
        <v>45</v>
      </c>
      <c r="E685" s="65">
        <f t="shared" si="31"/>
        <v>51.990291262135919</v>
      </c>
      <c r="F685" s="63">
        <f t="shared" si="30"/>
        <v>52</v>
      </c>
      <c r="G685" s="62"/>
    </row>
    <row r="686" spans="1:7" x14ac:dyDescent="0.4">
      <c r="A686" s="6" t="s">
        <v>279</v>
      </c>
      <c r="B686" s="8">
        <v>69</v>
      </c>
      <c r="C686" s="6"/>
      <c r="D686" s="73">
        <v>85</v>
      </c>
      <c r="E686" s="65">
        <f t="shared" si="31"/>
        <v>98.203883495145618</v>
      </c>
      <c r="F686" s="63">
        <f t="shared" si="30"/>
        <v>98</v>
      </c>
    </row>
    <row r="687" spans="1:7" x14ac:dyDescent="0.4">
      <c r="A687" s="6" t="s">
        <v>221</v>
      </c>
      <c r="B687" s="8">
        <v>53</v>
      </c>
      <c r="C687" s="6"/>
      <c r="D687" s="73">
        <v>130</v>
      </c>
      <c r="E687" s="65">
        <f t="shared" si="31"/>
        <v>150.19417475728156</v>
      </c>
      <c r="F687" s="63">
        <f t="shared" si="30"/>
        <v>150</v>
      </c>
    </row>
    <row r="688" spans="1:7" s="4" customFormat="1" x14ac:dyDescent="0.4">
      <c r="A688" s="9" t="s">
        <v>222</v>
      </c>
      <c r="B688" s="10">
        <v>53</v>
      </c>
      <c r="C688" s="9"/>
      <c r="D688" s="73">
        <v>160</v>
      </c>
      <c r="E688" s="65">
        <f t="shared" si="31"/>
        <v>184.85436893203882</v>
      </c>
      <c r="F688" s="63">
        <f t="shared" si="30"/>
        <v>185</v>
      </c>
      <c r="G688" s="61"/>
    </row>
    <row r="689" spans="1:6" x14ac:dyDescent="0.4">
      <c r="A689" s="9" t="s">
        <v>224</v>
      </c>
      <c r="B689" s="10">
        <v>53</v>
      </c>
      <c r="C689" s="9"/>
      <c r="D689" s="73">
        <v>160</v>
      </c>
      <c r="E689" s="65">
        <f t="shared" si="31"/>
        <v>184.85436893203882</v>
      </c>
      <c r="F689" s="63">
        <f t="shared" si="30"/>
        <v>185</v>
      </c>
    </row>
    <row r="690" spans="1:6" x14ac:dyDescent="0.4">
      <c r="A690" s="6" t="s">
        <v>225</v>
      </c>
      <c r="B690" s="8">
        <v>53</v>
      </c>
      <c r="C690" s="6"/>
      <c r="D690" s="73">
        <v>90</v>
      </c>
      <c r="E690" s="65">
        <f t="shared" si="31"/>
        <v>103.98058252427184</v>
      </c>
      <c r="F690" s="63">
        <f t="shared" si="30"/>
        <v>104</v>
      </c>
    </row>
    <row r="691" spans="1:6" x14ac:dyDescent="0.4">
      <c r="A691" s="6" t="s">
        <v>234</v>
      </c>
      <c r="B691" s="8">
        <v>56</v>
      </c>
      <c r="C691" s="6"/>
      <c r="D691" s="73">
        <v>85</v>
      </c>
      <c r="E691" s="65">
        <f t="shared" si="31"/>
        <v>98.203883495145618</v>
      </c>
      <c r="F691" s="63">
        <f t="shared" si="30"/>
        <v>98</v>
      </c>
    </row>
    <row r="692" spans="1:6" x14ac:dyDescent="0.4">
      <c r="A692" s="11" t="s">
        <v>226</v>
      </c>
      <c r="B692" s="7">
        <v>54</v>
      </c>
      <c r="C692" s="11"/>
      <c r="D692" s="73">
        <v>70</v>
      </c>
      <c r="E692" s="65">
        <f t="shared" si="31"/>
        <v>80.873786407766985</v>
      </c>
      <c r="F692" s="63">
        <f t="shared" si="30"/>
        <v>81</v>
      </c>
    </row>
    <row r="693" spans="1:6" x14ac:dyDescent="0.4">
      <c r="A693" s="6" t="s">
        <v>235</v>
      </c>
      <c r="B693" s="8">
        <v>56</v>
      </c>
      <c r="C693" s="6"/>
      <c r="D693" s="73">
        <v>85</v>
      </c>
      <c r="E693" s="65">
        <f t="shared" si="31"/>
        <v>98.203883495145618</v>
      </c>
      <c r="F693" s="63">
        <f t="shared" si="30"/>
        <v>98</v>
      </c>
    </row>
    <row r="694" spans="1:6" x14ac:dyDescent="0.4">
      <c r="A694" s="6" t="s">
        <v>280</v>
      </c>
      <c r="B694" s="8">
        <v>69</v>
      </c>
      <c r="C694" s="6"/>
      <c r="D694" s="73">
        <v>95</v>
      </c>
      <c r="E694" s="65">
        <f t="shared" si="31"/>
        <v>109.75728155339804</v>
      </c>
      <c r="F694" s="63">
        <f t="shared" si="30"/>
        <v>110</v>
      </c>
    </row>
    <row r="695" spans="1:6" x14ac:dyDescent="0.4">
      <c r="A695" s="6" t="s">
        <v>228</v>
      </c>
      <c r="B695" s="8">
        <v>54</v>
      </c>
      <c r="C695" s="6"/>
      <c r="D695" s="73">
        <v>70</v>
      </c>
      <c r="E695" s="65">
        <f t="shared" si="31"/>
        <v>80.873786407766985</v>
      </c>
      <c r="F695" s="63">
        <f t="shared" si="30"/>
        <v>81</v>
      </c>
    </row>
    <row r="696" spans="1:6" x14ac:dyDescent="0.4">
      <c r="A696" s="6" t="s">
        <v>233</v>
      </c>
      <c r="B696" s="8">
        <v>56</v>
      </c>
      <c r="C696" s="6"/>
      <c r="D696" s="73">
        <v>140</v>
      </c>
      <c r="E696" s="65">
        <f t="shared" si="31"/>
        <v>161.74757281553397</v>
      </c>
      <c r="F696" s="63">
        <f t="shared" si="30"/>
        <v>162</v>
      </c>
    </row>
    <row r="697" spans="1:6" x14ac:dyDescent="0.4">
      <c r="A697" s="6" t="s">
        <v>227</v>
      </c>
      <c r="B697" s="8">
        <v>54</v>
      </c>
      <c r="C697" s="6"/>
      <c r="D697" s="73">
        <v>130</v>
      </c>
      <c r="E697" s="65">
        <f t="shared" si="31"/>
        <v>150.19417475728156</v>
      </c>
      <c r="F697" s="63">
        <f t="shared" si="30"/>
        <v>150</v>
      </c>
    </row>
    <row r="698" spans="1:6" x14ac:dyDescent="0.4">
      <c r="A698" s="6" t="s">
        <v>232</v>
      </c>
      <c r="B698" s="8">
        <v>55</v>
      </c>
      <c r="C698" s="6"/>
      <c r="D698" s="73">
        <v>120</v>
      </c>
      <c r="E698" s="65">
        <f t="shared" si="31"/>
        <v>138.64077669902912</v>
      </c>
      <c r="F698" s="63">
        <f t="shared" si="30"/>
        <v>139</v>
      </c>
    </row>
    <row r="699" spans="1:6" x14ac:dyDescent="0.4">
      <c r="A699" s="6" t="s">
        <v>223</v>
      </c>
      <c r="B699" s="8">
        <v>53</v>
      </c>
      <c r="C699" s="6"/>
      <c r="D699" s="73">
        <v>140</v>
      </c>
      <c r="E699" s="65">
        <f t="shared" si="31"/>
        <v>161.74757281553397</v>
      </c>
      <c r="F699" s="63">
        <f t="shared" si="30"/>
        <v>162</v>
      </c>
    </row>
    <row r="700" spans="1:6" x14ac:dyDescent="0.4">
      <c r="A700" s="6" t="s">
        <v>565</v>
      </c>
      <c r="B700" s="7">
        <v>137</v>
      </c>
      <c r="C700" s="6"/>
      <c r="D700" s="73">
        <v>10</v>
      </c>
      <c r="E700" s="65">
        <f t="shared" si="31"/>
        <v>11.553398058252426</v>
      </c>
      <c r="F700" s="63">
        <f t="shared" si="30"/>
        <v>12</v>
      </c>
    </row>
    <row r="701" spans="1:6" x14ac:dyDescent="0.4">
      <c r="A701" s="6" t="s">
        <v>534</v>
      </c>
      <c r="B701" s="7">
        <v>127</v>
      </c>
      <c r="C701" s="6"/>
      <c r="D701" s="73">
        <v>15</v>
      </c>
      <c r="E701" s="65">
        <f t="shared" si="31"/>
        <v>17.33009708737864</v>
      </c>
      <c r="F701" s="63">
        <f t="shared" si="30"/>
        <v>17</v>
      </c>
    </row>
    <row r="702" spans="1:6" x14ac:dyDescent="0.4">
      <c r="A702" s="6" t="s">
        <v>342</v>
      </c>
      <c r="B702" s="8">
        <v>86</v>
      </c>
      <c r="C702" s="6"/>
      <c r="D702" s="73">
        <v>20</v>
      </c>
      <c r="E702" s="65">
        <f t="shared" ref="E702:E722" si="32">D702/10.3*G$2</f>
        <v>23.106796116504853</v>
      </c>
      <c r="F702" s="63">
        <f t="shared" si="30"/>
        <v>23</v>
      </c>
    </row>
    <row r="703" spans="1:6" x14ac:dyDescent="0.4">
      <c r="A703" s="6" t="s">
        <v>341</v>
      </c>
      <c r="B703" s="8">
        <v>85</v>
      </c>
      <c r="C703" s="6"/>
      <c r="D703" s="73">
        <v>20</v>
      </c>
      <c r="E703" s="65">
        <f t="shared" si="32"/>
        <v>23.106796116504853</v>
      </c>
      <c r="F703" s="63">
        <f t="shared" si="30"/>
        <v>23</v>
      </c>
    </row>
    <row r="704" spans="1:6" x14ac:dyDescent="0.4">
      <c r="A704" s="6" t="s">
        <v>930</v>
      </c>
      <c r="B704" s="8">
        <v>49</v>
      </c>
      <c r="C704" s="6"/>
      <c r="D704" s="73">
        <v>20</v>
      </c>
      <c r="E704" s="65">
        <f t="shared" si="32"/>
        <v>23.106796116504853</v>
      </c>
      <c r="F704" s="63">
        <f t="shared" si="30"/>
        <v>23</v>
      </c>
    </row>
    <row r="705" spans="1:7" x14ac:dyDescent="0.4">
      <c r="A705" s="6" t="s">
        <v>929</v>
      </c>
      <c r="B705" s="8">
        <v>49</v>
      </c>
      <c r="C705" s="6"/>
      <c r="D705" s="73">
        <v>20</v>
      </c>
      <c r="E705" s="65">
        <f t="shared" si="32"/>
        <v>23.106796116504853</v>
      </c>
      <c r="F705" s="63">
        <f t="shared" si="30"/>
        <v>23</v>
      </c>
    </row>
    <row r="706" spans="1:7" x14ac:dyDescent="0.4">
      <c r="A706" s="6" t="s">
        <v>346</v>
      </c>
      <c r="B706" s="8">
        <v>85</v>
      </c>
      <c r="C706" s="6"/>
      <c r="D706" s="73">
        <v>20</v>
      </c>
      <c r="E706" s="65">
        <f t="shared" si="32"/>
        <v>23.106796116504853</v>
      </c>
      <c r="F706" s="63">
        <f t="shared" ref="F706:F770" si="33">ROUND(E706,0)</f>
        <v>23</v>
      </c>
    </row>
    <row r="707" spans="1:7" x14ac:dyDescent="0.4">
      <c r="A707" s="6" t="s">
        <v>347</v>
      </c>
      <c r="B707" s="8">
        <v>87</v>
      </c>
      <c r="C707" s="6"/>
      <c r="D707" s="73">
        <v>25</v>
      </c>
      <c r="E707" s="65">
        <f t="shared" si="32"/>
        <v>28.883495145631066</v>
      </c>
      <c r="F707" s="63">
        <f t="shared" si="33"/>
        <v>29</v>
      </c>
    </row>
    <row r="708" spans="1:7" ht="20.399999999999999" customHeight="1" x14ac:dyDescent="0.4">
      <c r="A708" s="6" t="s">
        <v>1581</v>
      </c>
      <c r="B708" s="7">
        <v>83</v>
      </c>
      <c r="C708" s="6"/>
      <c r="D708" s="73">
        <v>20</v>
      </c>
      <c r="E708" s="65">
        <f t="shared" si="32"/>
        <v>23.106796116504853</v>
      </c>
      <c r="F708" s="63">
        <f t="shared" si="33"/>
        <v>23</v>
      </c>
    </row>
    <row r="709" spans="1:7" x14ac:dyDescent="0.4">
      <c r="A709" s="6" t="s">
        <v>1129</v>
      </c>
      <c r="B709" s="7">
        <v>86</v>
      </c>
      <c r="C709" s="6"/>
      <c r="D709" s="73">
        <v>20</v>
      </c>
      <c r="E709" s="65">
        <f t="shared" si="32"/>
        <v>23.106796116504853</v>
      </c>
      <c r="F709" s="63">
        <f t="shared" si="33"/>
        <v>23</v>
      </c>
    </row>
    <row r="710" spans="1:7" x14ac:dyDescent="0.4">
      <c r="A710" s="6" t="s">
        <v>339</v>
      </c>
      <c r="B710" s="8">
        <v>85</v>
      </c>
      <c r="C710" s="6"/>
      <c r="D710" s="73">
        <v>20</v>
      </c>
      <c r="E710" s="65">
        <f t="shared" si="32"/>
        <v>23.106796116504853</v>
      </c>
      <c r="F710" s="63">
        <f t="shared" si="33"/>
        <v>23</v>
      </c>
    </row>
    <row r="711" spans="1:7" x14ac:dyDescent="0.4">
      <c r="A711" s="6" t="s">
        <v>338</v>
      </c>
      <c r="B711" s="8">
        <v>85</v>
      </c>
      <c r="C711" s="6"/>
      <c r="D711" s="73">
        <v>20</v>
      </c>
      <c r="E711" s="65">
        <f t="shared" si="32"/>
        <v>23.106796116504853</v>
      </c>
      <c r="F711" s="63">
        <f t="shared" si="33"/>
        <v>23</v>
      </c>
    </row>
    <row r="712" spans="1:7" x14ac:dyDescent="0.4">
      <c r="A712" s="6" t="s">
        <v>336</v>
      </c>
      <c r="B712" s="8">
        <v>85</v>
      </c>
      <c r="C712" s="6"/>
      <c r="D712" s="73">
        <v>20</v>
      </c>
      <c r="E712" s="65">
        <f t="shared" si="32"/>
        <v>23.106796116504853</v>
      </c>
      <c r="F712" s="63">
        <f t="shared" si="33"/>
        <v>23</v>
      </c>
    </row>
    <row r="713" spans="1:7" x14ac:dyDescent="0.4">
      <c r="A713" s="6" t="s">
        <v>340</v>
      </c>
      <c r="B713" s="8">
        <v>85</v>
      </c>
      <c r="C713" s="6"/>
      <c r="D713" s="73">
        <v>20</v>
      </c>
      <c r="E713" s="65">
        <f t="shared" si="32"/>
        <v>23.106796116504853</v>
      </c>
      <c r="F713" s="63">
        <f t="shared" si="33"/>
        <v>23</v>
      </c>
    </row>
    <row r="714" spans="1:7" x14ac:dyDescent="0.4">
      <c r="A714" s="9" t="s">
        <v>335</v>
      </c>
      <c r="B714" s="10">
        <v>85</v>
      </c>
      <c r="C714" s="9"/>
      <c r="D714" s="73">
        <v>20</v>
      </c>
      <c r="E714" s="65">
        <f t="shared" si="32"/>
        <v>23.106796116504853</v>
      </c>
      <c r="F714" s="63">
        <f t="shared" si="33"/>
        <v>23</v>
      </c>
    </row>
    <row r="715" spans="1:7" s="4" customFormat="1" x14ac:dyDescent="0.4">
      <c r="A715" s="6" t="s">
        <v>337</v>
      </c>
      <c r="B715" s="8">
        <v>85</v>
      </c>
      <c r="C715" s="6"/>
      <c r="D715" s="73">
        <v>20</v>
      </c>
      <c r="E715" s="65">
        <f t="shared" si="32"/>
        <v>23.106796116504853</v>
      </c>
      <c r="F715" s="63">
        <f t="shared" si="33"/>
        <v>23</v>
      </c>
      <c r="G715" s="61"/>
    </row>
    <row r="716" spans="1:7" x14ac:dyDescent="0.4">
      <c r="A716" s="6" t="s">
        <v>345</v>
      </c>
      <c r="B716" s="8">
        <v>86</v>
      </c>
      <c r="C716" s="6"/>
      <c r="D716" s="73">
        <v>20</v>
      </c>
      <c r="E716" s="65">
        <f t="shared" si="32"/>
        <v>23.106796116504853</v>
      </c>
      <c r="F716" s="63">
        <f t="shared" si="33"/>
        <v>23</v>
      </c>
    </row>
    <row r="717" spans="1:7" x14ac:dyDescent="0.4">
      <c r="A717" s="6" t="s">
        <v>344</v>
      </c>
      <c r="B717" s="8">
        <v>86</v>
      </c>
      <c r="C717" s="6"/>
      <c r="D717" s="73">
        <v>17</v>
      </c>
      <c r="E717" s="65">
        <f t="shared" si="32"/>
        <v>19.640776699029125</v>
      </c>
      <c r="F717" s="63">
        <f t="shared" si="33"/>
        <v>20</v>
      </c>
    </row>
    <row r="718" spans="1:7" x14ac:dyDescent="0.4">
      <c r="A718" s="6" t="s">
        <v>68</v>
      </c>
      <c r="B718" s="8">
        <v>25</v>
      </c>
      <c r="C718" s="6"/>
      <c r="D718" s="73">
        <v>15</v>
      </c>
      <c r="E718" s="65">
        <f t="shared" si="32"/>
        <v>17.33009708737864</v>
      </c>
      <c r="F718" s="63">
        <f t="shared" si="33"/>
        <v>17</v>
      </c>
    </row>
    <row r="719" spans="1:7" x14ac:dyDescent="0.4">
      <c r="A719" s="6" t="s">
        <v>69</v>
      </c>
      <c r="B719" s="8">
        <v>25</v>
      </c>
      <c r="C719" s="6"/>
      <c r="D719" s="73">
        <v>15</v>
      </c>
      <c r="E719" s="65">
        <f t="shared" si="32"/>
        <v>17.33009708737864</v>
      </c>
      <c r="F719" s="63">
        <f t="shared" si="33"/>
        <v>17</v>
      </c>
    </row>
    <row r="720" spans="1:7" x14ac:dyDescent="0.4">
      <c r="A720" s="6" t="s">
        <v>155</v>
      </c>
      <c r="B720" s="8">
        <v>39</v>
      </c>
      <c r="C720" s="6"/>
      <c r="D720" s="73">
        <v>10</v>
      </c>
      <c r="E720" s="65">
        <f t="shared" si="32"/>
        <v>11.553398058252426</v>
      </c>
      <c r="F720" s="63">
        <f t="shared" si="33"/>
        <v>12</v>
      </c>
    </row>
    <row r="721" spans="1:6" x14ac:dyDescent="0.4">
      <c r="A721" s="6" t="s">
        <v>542</v>
      </c>
      <c r="B721" s="7">
        <v>130</v>
      </c>
      <c r="C721" s="6"/>
      <c r="D721" s="73">
        <v>5</v>
      </c>
      <c r="E721" s="65">
        <f t="shared" si="32"/>
        <v>5.7766990291262132</v>
      </c>
      <c r="F721" s="63">
        <f t="shared" si="33"/>
        <v>6</v>
      </c>
    </row>
    <row r="722" spans="1:6" x14ac:dyDescent="0.4">
      <c r="A722" s="6" t="s">
        <v>1057</v>
      </c>
      <c r="B722" s="70">
        <v>129</v>
      </c>
      <c r="C722" s="6" t="s">
        <v>1058</v>
      </c>
      <c r="D722" s="73">
        <v>10</v>
      </c>
      <c r="E722" s="65">
        <f t="shared" si="32"/>
        <v>11.553398058252426</v>
      </c>
      <c r="F722" s="63">
        <f t="shared" si="33"/>
        <v>12</v>
      </c>
    </row>
    <row r="723" spans="1:6" x14ac:dyDescent="0.4">
      <c r="A723" s="6" t="s">
        <v>1824</v>
      </c>
      <c r="B723" s="71">
        <v>129</v>
      </c>
      <c r="C723" s="6" t="s">
        <v>1825</v>
      </c>
      <c r="F723" s="63">
        <v>12</v>
      </c>
    </row>
    <row r="724" spans="1:6" x14ac:dyDescent="0.4">
      <c r="A724" s="6" t="s">
        <v>1094</v>
      </c>
      <c r="B724" s="7">
        <v>124</v>
      </c>
      <c r="C724" s="6" t="s">
        <v>1095</v>
      </c>
      <c r="D724" s="73">
        <v>10</v>
      </c>
      <c r="E724" s="65">
        <f t="shared" ref="E724:E768" si="34">D724/10.3*G$2</f>
        <v>11.553398058252426</v>
      </c>
      <c r="F724" s="63">
        <f t="shared" si="33"/>
        <v>12</v>
      </c>
    </row>
    <row r="725" spans="1:6" x14ac:dyDescent="0.4">
      <c r="A725" s="6" t="s">
        <v>1619</v>
      </c>
      <c r="B725" s="6">
        <v>25</v>
      </c>
      <c r="C725" s="6" t="s">
        <v>1620</v>
      </c>
      <c r="D725" s="73">
        <v>10</v>
      </c>
      <c r="E725" s="65">
        <f t="shared" si="34"/>
        <v>11.553398058252426</v>
      </c>
      <c r="F725" s="63">
        <f t="shared" si="33"/>
        <v>12</v>
      </c>
    </row>
    <row r="726" spans="1:6" x14ac:dyDescent="0.4">
      <c r="A726" s="6" t="s">
        <v>89</v>
      </c>
      <c r="B726" s="8">
        <v>30</v>
      </c>
      <c r="C726" s="6" t="s">
        <v>90</v>
      </c>
      <c r="D726" s="73">
        <v>10</v>
      </c>
      <c r="E726" s="65">
        <f t="shared" si="34"/>
        <v>11.553398058252426</v>
      </c>
      <c r="F726" s="63">
        <f t="shared" si="33"/>
        <v>12</v>
      </c>
    </row>
    <row r="727" spans="1:6" x14ac:dyDescent="0.4">
      <c r="A727" s="6" t="s">
        <v>1098</v>
      </c>
      <c r="B727" s="7">
        <v>98</v>
      </c>
      <c r="C727" s="6"/>
      <c r="D727" s="73">
        <v>45</v>
      </c>
      <c r="E727" s="65">
        <f t="shared" si="34"/>
        <v>51.990291262135919</v>
      </c>
      <c r="F727" s="63">
        <f t="shared" si="33"/>
        <v>52</v>
      </c>
    </row>
    <row r="728" spans="1:6" x14ac:dyDescent="0.4">
      <c r="A728" s="6" t="s">
        <v>20</v>
      </c>
      <c r="B728" s="8">
        <v>13</v>
      </c>
      <c r="C728" s="6"/>
      <c r="D728" s="73">
        <v>7</v>
      </c>
      <c r="E728" s="65">
        <f t="shared" si="34"/>
        <v>8.0873786407766985</v>
      </c>
      <c r="F728" s="63">
        <f t="shared" si="33"/>
        <v>8</v>
      </c>
    </row>
    <row r="729" spans="1:6" x14ac:dyDescent="0.4">
      <c r="A729" s="6" t="s">
        <v>125</v>
      </c>
      <c r="B729" s="8">
        <v>35</v>
      </c>
      <c r="C729" s="6" t="s">
        <v>126</v>
      </c>
      <c r="D729" s="73">
        <v>7</v>
      </c>
      <c r="E729" s="65">
        <f t="shared" si="34"/>
        <v>8.0873786407766985</v>
      </c>
      <c r="F729" s="63">
        <f t="shared" si="33"/>
        <v>8</v>
      </c>
    </row>
    <row r="730" spans="1:6" x14ac:dyDescent="0.4">
      <c r="A730" s="6" t="s">
        <v>236</v>
      </c>
      <c r="B730" s="8">
        <v>57</v>
      </c>
      <c r="C730" s="6"/>
      <c r="D730" s="73">
        <v>5</v>
      </c>
      <c r="E730" s="65">
        <f t="shared" si="34"/>
        <v>5.7766990291262132</v>
      </c>
      <c r="F730" s="63">
        <f t="shared" si="33"/>
        <v>6</v>
      </c>
    </row>
    <row r="731" spans="1:6" x14ac:dyDescent="0.4">
      <c r="A731" s="9" t="s">
        <v>237</v>
      </c>
      <c r="B731" s="10">
        <v>57</v>
      </c>
      <c r="C731" s="9"/>
      <c r="D731" s="73">
        <v>5</v>
      </c>
      <c r="E731" s="65">
        <f t="shared" si="34"/>
        <v>5.7766990291262132</v>
      </c>
      <c r="F731" s="63">
        <f t="shared" si="33"/>
        <v>6</v>
      </c>
    </row>
    <row r="732" spans="1:6" x14ac:dyDescent="0.4">
      <c r="A732" s="6" t="s">
        <v>239</v>
      </c>
      <c r="B732" s="8">
        <v>57</v>
      </c>
      <c r="C732" s="6"/>
      <c r="D732" s="73">
        <v>8</v>
      </c>
      <c r="E732" s="65">
        <f t="shared" si="34"/>
        <v>9.2427184466019412</v>
      </c>
      <c r="F732" s="63">
        <f t="shared" si="33"/>
        <v>9</v>
      </c>
    </row>
    <row r="733" spans="1:6" x14ac:dyDescent="0.4">
      <c r="A733" s="6" t="s">
        <v>238</v>
      </c>
      <c r="B733" s="8">
        <v>57</v>
      </c>
      <c r="C733" s="6"/>
      <c r="D733" s="73">
        <v>10</v>
      </c>
      <c r="E733" s="65">
        <f t="shared" si="34"/>
        <v>11.553398058252426</v>
      </c>
      <c r="F733" s="63">
        <f t="shared" si="33"/>
        <v>12</v>
      </c>
    </row>
    <row r="734" spans="1:6" x14ac:dyDescent="0.4">
      <c r="A734" s="6" t="s">
        <v>240</v>
      </c>
      <c r="B734" s="8">
        <v>57</v>
      </c>
      <c r="C734" s="6"/>
      <c r="D734" s="73">
        <v>15</v>
      </c>
      <c r="E734" s="65">
        <f t="shared" si="34"/>
        <v>17.33009708737864</v>
      </c>
      <c r="F734" s="63">
        <f t="shared" si="33"/>
        <v>17</v>
      </c>
    </row>
    <row r="735" spans="1:6" x14ac:dyDescent="0.4">
      <c r="A735" s="6" t="s">
        <v>6</v>
      </c>
      <c r="B735" s="8">
        <v>11</v>
      </c>
      <c r="C735" s="6"/>
      <c r="D735" s="73">
        <v>5</v>
      </c>
      <c r="E735" s="65">
        <f t="shared" si="34"/>
        <v>5.7766990291262132</v>
      </c>
      <c r="F735" s="63">
        <f t="shared" si="33"/>
        <v>6</v>
      </c>
    </row>
    <row r="736" spans="1:6" x14ac:dyDescent="0.4">
      <c r="A736" s="6" t="s">
        <v>70</v>
      </c>
      <c r="B736" s="8">
        <v>25</v>
      </c>
      <c r="C736" s="6"/>
      <c r="D736" s="73">
        <v>15</v>
      </c>
      <c r="E736" s="65">
        <f t="shared" si="34"/>
        <v>17.33009708737864</v>
      </c>
      <c r="F736" s="63">
        <f t="shared" si="33"/>
        <v>17</v>
      </c>
    </row>
    <row r="737" spans="1:7" x14ac:dyDescent="0.4">
      <c r="A737" s="6" t="s">
        <v>71</v>
      </c>
      <c r="B737" s="8">
        <v>25</v>
      </c>
      <c r="C737" s="6"/>
      <c r="D737" s="73">
        <v>15</v>
      </c>
      <c r="E737" s="65">
        <f t="shared" si="34"/>
        <v>17.33009708737864</v>
      </c>
      <c r="F737" s="63">
        <f t="shared" si="33"/>
        <v>17</v>
      </c>
    </row>
    <row r="738" spans="1:7" x14ac:dyDescent="0.4">
      <c r="A738" s="6" t="s">
        <v>1068</v>
      </c>
      <c r="B738" s="7">
        <v>69</v>
      </c>
      <c r="C738" s="6"/>
      <c r="D738" s="73">
        <v>15</v>
      </c>
      <c r="E738" s="65">
        <f t="shared" si="34"/>
        <v>17.33009708737864</v>
      </c>
      <c r="F738" s="63">
        <f t="shared" si="33"/>
        <v>17</v>
      </c>
    </row>
    <row r="739" spans="1:7" x14ac:dyDescent="0.4">
      <c r="A739" s="6" t="s">
        <v>165</v>
      </c>
      <c r="B739" s="8">
        <v>40</v>
      </c>
      <c r="C739" s="6"/>
      <c r="D739" s="73">
        <v>22</v>
      </c>
      <c r="E739" s="65">
        <f t="shared" si="34"/>
        <v>25.417475728155338</v>
      </c>
      <c r="F739" s="63">
        <f t="shared" si="33"/>
        <v>25</v>
      </c>
    </row>
    <row r="740" spans="1:7" x14ac:dyDescent="0.4">
      <c r="A740" s="6" t="s">
        <v>166</v>
      </c>
      <c r="B740" s="8">
        <v>40</v>
      </c>
      <c r="C740" s="6"/>
      <c r="D740" s="73">
        <v>20</v>
      </c>
      <c r="E740" s="65">
        <f t="shared" si="34"/>
        <v>23.106796116504853</v>
      </c>
      <c r="F740" s="63">
        <f t="shared" si="33"/>
        <v>23</v>
      </c>
    </row>
    <row r="741" spans="1:7" x14ac:dyDescent="0.4">
      <c r="A741" s="6" t="s">
        <v>167</v>
      </c>
      <c r="B741" s="8">
        <v>40</v>
      </c>
      <c r="C741" s="6"/>
      <c r="D741" s="73">
        <v>28</v>
      </c>
      <c r="E741" s="65">
        <f t="shared" si="34"/>
        <v>32.349514563106794</v>
      </c>
      <c r="F741" s="63">
        <f t="shared" si="33"/>
        <v>32</v>
      </c>
    </row>
    <row r="742" spans="1:7" x14ac:dyDescent="0.4">
      <c r="A742" s="6" t="s">
        <v>933</v>
      </c>
      <c r="B742" s="8">
        <v>42</v>
      </c>
      <c r="C742" s="6"/>
      <c r="D742" s="73">
        <v>20</v>
      </c>
      <c r="E742" s="65">
        <f t="shared" si="34"/>
        <v>23.106796116504853</v>
      </c>
      <c r="F742" s="63">
        <f t="shared" si="33"/>
        <v>23</v>
      </c>
    </row>
    <row r="743" spans="1:7" x14ac:dyDescent="0.4">
      <c r="A743" s="6" t="s">
        <v>168</v>
      </c>
      <c r="B743" s="8">
        <v>40</v>
      </c>
      <c r="C743" s="6"/>
      <c r="D743" s="73">
        <v>25</v>
      </c>
      <c r="E743" s="65">
        <f t="shared" si="34"/>
        <v>28.883495145631066</v>
      </c>
      <c r="F743" s="63">
        <f t="shared" si="33"/>
        <v>29</v>
      </c>
    </row>
    <row r="744" spans="1:7" x14ac:dyDescent="0.4">
      <c r="A744" s="6" t="s">
        <v>169</v>
      </c>
      <c r="B744" s="8">
        <v>40</v>
      </c>
      <c r="C744" s="6"/>
      <c r="D744" s="73">
        <v>27</v>
      </c>
      <c r="E744" s="65">
        <f t="shared" si="34"/>
        <v>31.194174757281552</v>
      </c>
      <c r="F744" s="63">
        <f t="shared" si="33"/>
        <v>31</v>
      </c>
    </row>
    <row r="745" spans="1:7" x14ac:dyDescent="0.4">
      <c r="A745" s="6" t="s">
        <v>170</v>
      </c>
      <c r="B745" s="8">
        <v>41</v>
      </c>
      <c r="C745" s="6"/>
      <c r="D745" s="73">
        <v>20</v>
      </c>
      <c r="E745" s="65">
        <f t="shared" si="34"/>
        <v>23.106796116504853</v>
      </c>
      <c r="F745" s="63">
        <f t="shared" si="33"/>
        <v>23</v>
      </c>
    </row>
    <row r="746" spans="1:7" x14ac:dyDescent="0.4">
      <c r="A746" s="6" t="s">
        <v>171</v>
      </c>
      <c r="B746" s="8">
        <v>41</v>
      </c>
      <c r="C746" s="6"/>
      <c r="D746" s="73">
        <v>17</v>
      </c>
      <c r="E746" s="65">
        <f t="shared" si="34"/>
        <v>19.640776699029125</v>
      </c>
      <c r="F746" s="63">
        <f t="shared" si="33"/>
        <v>20</v>
      </c>
    </row>
    <row r="747" spans="1:7" x14ac:dyDescent="0.4">
      <c r="A747" s="9" t="s">
        <v>172</v>
      </c>
      <c r="B747" s="10">
        <v>41</v>
      </c>
      <c r="C747" s="9"/>
      <c r="D747" s="73">
        <v>25</v>
      </c>
      <c r="E747" s="65">
        <f t="shared" si="34"/>
        <v>28.883495145631066</v>
      </c>
      <c r="F747" s="63">
        <f t="shared" si="33"/>
        <v>29</v>
      </c>
    </row>
    <row r="748" spans="1:7" x14ac:dyDescent="0.4">
      <c r="A748" s="6" t="s">
        <v>384</v>
      </c>
      <c r="B748" s="7">
        <v>96</v>
      </c>
      <c r="C748" s="6"/>
      <c r="D748" s="73">
        <v>20</v>
      </c>
      <c r="E748" s="65">
        <f t="shared" si="34"/>
        <v>23.106796116504853</v>
      </c>
      <c r="F748" s="63">
        <f t="shared" si="33"/>
        <v>23</v>
      </c>
    </row>
    <row r="749" spans="1:7" x14ac:dyDescent="0.4">
      <c r="A749" s="6" t="s">
        <v>433</v>
      </c>
      <c r="B749" s="7">
        <v>102</v>
      </c>
      <c r="C749" s="6"/>
      <c r="D749" s="73">
        <v>35</v>
      </c>
      <c r="E749" s="65">
        <f t="shared" si="34"/>
        <v>40.436893203883493</v>
      </c>
      <c r="F749" s="63">
        <f t="shared" si="33"/>
        <v>40</v>
      </c>
    </row>
    <row r="750" spans="1:7" x14ac:dyDescent="0.4">
      <c r="A750" s="6" t="s">
        <v>434</v>
      </c>
      <c r="B750" s="7">
        <v>102</v>
      </c>
      <c r="C750" s="6"/>
      <c r="D750" s="73">
        <v>35</v>
      </c>
      <c r="E750" s="65">
        <f t="shared" si="34"/>
        <v>40.436893203883493</v>
      </c>
      <c r="F750" s="63">
        <f t="shared" si="33"/>
        <v>40</v>
      </c>
      <c r="G750" s="5" t="e">
        <f>#REF!*16*1.3</f>
        <v>#REF!</v>
      </c>
    </row>
    <row r="751" spans="1:7" x14ac:dyDescent="0.4">
      <c r="A751" s="6" t="s">
        <v>173</v>
      </c>
      <c r="B751" s="8">
        <v>41</v>
      </c>
      <c r="C751" s="6"/>
      <c r="D751" s="73">
        <v>40</v>
      </c>
      <c r="E751" s="65">
        <f t="shared" si="34"/>
        <v>46.213592233009706</v>
      </c>
      <c r="F751" s="63">
        <f t="shared" si="33"/>
        <v>46</v>
      </c>
    </row>
    <row r="752" spans="1:7" x14ac:dyDescent="0.4">
      <c r="A752" s="6" t="s">
        <v>435</v>
      </c>
      <c r="B752" s="7">
        <v>102</v>
      </c>
      <c r="C752" s="6"/>
      <c r="D752" s="73">
        <v>25</v>
      </c>
      <c r="E752" s="65">
        <f t="shared" si="34"/>
        <v>28.883495145631066</v>
      </c>
      <c r="F752" s="63">
        <f t="shared" si="33"/>
        <v>29</v>
      </c>
    </row>
    <row r="753" spans="1:6" x14ac:dyDescent="0.4">
      <c r="A753" s="6" t="s">
        <v>472</v>
      </c>
      <c r="B753" s="7" t="s">
        <v>1794</v>
      </c>
      <c r="C753" s="6" t="s">
        <v>1795</v>
      </c>
      <c r="D753" s="73">
        <v>35</v>
      </c>
      <c r="E753" s="65">
        <f t="shared" si="34"/>
        <v>40.436893203883493</v>
      </c>
      <c r="F753" s="63">
        <f t="shared" si="33"/>
        <v>40</v>
      </c>
    </row>
    <row r="754" spans="1:6" x14ac:dyDescent="0.4">
      <c r="A754" s="6" t="s">
        <v>174</v>
      </c>
      <c r="B754" s="8">
        <v>41</v>
      </c>
      <c r="C754" s="6"/>
      <c r="D754" s="73">
        <v>20</v>
      </c>
      <c r="E754" s="65">
        <f t="shared" si="34"/>
        <v>23.106796116504853</v>
      </c>
      <c r="F754" s="63">
        <f t="shared" si="33"/>
        <v>23</v>
      </c>
    </row>
    <row r="755" spans="1:6" x14ac:dyDescent="0.4">
      <c r="A755" s="6" t="s">
        <v>470</v>
      </c>
      <c r="B755" s="7" t="s">
        <v>1794</v>
      </c>
      <c r="C755" s="6" t="s">
        <v>1795</v>
      </c>
      <c r="D755" s="73">
        <v>75</v>
      </c>
      <c r="E755" s="65">
        <f t="shared" si="34"/>
        <v>86.650485436893206</v>
      </c>
      <c r="F755" s="63">
        <f t="shared" si="33"/>
        <v>87</v>
      </c>
    </row>
    <row r="756" spans="1:6" x14ac:dyDescent="0.4">
      <c r="A756" s="6" t="s">
        <v>448</v>
      </c>
      <c r="B756" s="7">
        <v>109</v>
      </c>
      <c r="C756" s="6"/>
      <c r="D756" s="73">
        <v>15</v>
      </c>
      <c r="E756" s="65">
        <f t="shared" si="34"/>
        <v>17.33009708737864</v>
      </c>
      <c r="F756" s="63">
        <f t="shared" si="33"/>
        <v>17</v>
      </c>
    </row>
    <row r="757" spans="1:6" x14ac:dyDescent="0.4">
      <c r="A757" s="6" t="s">
        <v>523</v>
      </c>
      <c r="B757" s="7">
        <v>121</v>
      </c>
      <c r="C757" s="6"/>
      <c r="D757" s="73">
        <v>12</v>
      </c>
      <c r="E757" s="65">
        <f t="shared" si="34"/>
        <v>13.864077669902912</v>
      </c>
      <c r="F757" s="63">
        <f t="shared" si="33"/>
        <v>14</v>
      </c>
    </row>
    <row r="758" spans="1:6" x14ac:dyDescent="0.4">
      <c r="A758" s="6" t="s">
        <v>1584</v>
      </c>
      <c r="B758" s="7" t="s">
        <v>1585</v>
      </c>
      <c r="C758" s="6"/>
      <c r="D758" s="73">
        <v>8.5</v>
      </c>
      <c r="E758" s="65">
        <f t="shared" si="34"/>
        <v>9.8203883495145625</v>
      </c>
      <c r="F758" s="63">
        <f t="shared" si="33"/>
        <v>10</v>
      </c>
    </row>
    <row r="759" spans="1:6" x14ac:dyDescent="0.4">
      <c r="A759" s="6" t="s">
        <v>495</v>
      </c>
      <c r="B759" s="7">
        <v>115</v>
      </c>
      <c r="C759" s="6"/>
      <c r="D759" s="73">
        <v>7</v>
      </c>
      <c r="E759" s="65">
        <f t="shared" si="34"/>
        <v>8.0873786407766985</v>
      </c>
      <c r="F759" s="63">
        <f t="shared" si="33"/>
        <v>8</v>
      </c>
    </row>
    <row r="760" spans="1:6" x14ac:dyDescent="0.4">
      <c r="A760" s="57" t="s">
        <v>492</v>
      </c>
      <c r="B760" s="7">
        <v>115</v>
      </c>
      <c r="C760" s="6"/>
      <c r="D760" s="73">
        <v>5</v>
      </c>
      <c r="E760" s="65">
        <f t="shared" si="34"/>
        <v>5.7766990291262132</v>
      </c>
      <c r="F760" s="63">
        <f t="shared" si="33"/>
        <v>6</v>
      </c>
    </row>
    <row r="761" spans="1:6" x14ac:dyDescent="0.4">
      <c r="A761" s="57" t="s">
        <v>494</v>
      </c>
      <c r="B761" s="7">
        <v>115</v>
      </c>
      <c r="C761" s="6"/>
      <c r="D761" s="73">
        <v>3</v>
      </c>
      <c r="E761" s="65">
        <f t="shared" si="34"/>
        <v>3.4660194174757279</v>
      </c>
      <c r="F761" s="63">
        <f t="shared" si="33"/>
        <v>3</v>
      </c>
    </row>
    <row r="762" spans="1:6" x14ac:dyDescent="0.4">
      <c r="A762" s="57" t="s">
        <v>493</v>
      </c>
      <c r="B762" s="7">
        <v>115</v>
      </c>
      <c r="C762" s="6"/>
      <c r="D762" s="73">
        <v>7</v>
      </c>
      <c r="E762" s="65">
        <f t="shared" si="34"/>
        <v>8.0873786407766985</v>
      </c>
      <c r="F762" s="63">
        <f t="shared" si="33"/>
        <v>8</v>
      </c>
    </row>
    <row r="763" spans="1:6" x14ac:dyDescent="0.4">
      <c r="A763" s="57" t="s">
        <v>491</v>
      </c>
      <c r="B763" s="7">
        <v>115</v>
      </c>
      <c r="C763" s="6" t="s">
        <v>490</v>
      </c>
      <c r="D763" s="73">
        <v>5</v>
      </c>
      <c r="E763" s="65">
        <f t="shared" si="34"/>
        <v>5.7766990291262132</v>
      </c>
      <c r="F763" s="63">
        <f t="shared" si="33"/>
        <v>6</v>
      </c>
    </row>
    <row r="764" spans="1:6" x14ac:dyDescent="0.4">
      <c r="A764" s="6" t="s">
        <v>77</v>
      </c>
      <c r="B764" s="8">
        <v>27</v>
      </c>
      <c r="C764" s="6" t="s">
        <v>78</v>
      </c>
      <c r="D764" s="73">
        <v>7</v>
      </c>
      <c r="E764" s="65">
        <f t="shared" si="34"/>
        <v>8.0873786407766985</v>
      </c>
      <c r="F764" s="63">
        <f t="shared" si="33"/>
        <v>8</v>
      </c>
    </row>
    <row r="765" spans="1:6" x14ac:dyDescent="0.4">
      <c r="A765" s="6" t="s">
        <v>1117</v>
      </c>
      <c r="B765" s="8">
        <v>28</v>
      </c>
      <c r="C765" s="6"/>
      <c r="D765" s="73">
        <v>7</v>
      </c>
      <c r="E765" s="65">
        <f t="shared" si="34"/>
        <v>8.0873786407766985</v>
      </c>
      <c r="F765" s="63">
        <f t="shared" si="33"/>
        <v>8</v>
      </c>
    </row>
    <row r="766" spans="1:6" x14ac:dyDescent="0.4">
      <c r="A766" s="6" t="s">
        <v>1128</v>
      </c>
      <c r="B766" s="7">
        <v>128</v>
      </c>
      <c r="C766" s="6"/>
      <c r="D766" s="73">
        <v>12</v>
      </c>
      <c r="E766" s="65">
        <f t="shared" si="34"/>
        <v>13.864077669902912</v>
      </c>
      <c r="F766" s="63">
        <f t="shared" si="33"/>
        <v>14</v>
      </c>
    </row>
    <row r="767" spans="1:6" x14ac:dyDescent="0.4">
      <c r="A767" s="6" t="s">
        <v>535</v>
      </c>
      <c r="B767" s="7">
        <v>128</v>
      </c>
      <c r="C767" s="6"/>
      <c r="D767" s="73">
        <v>8</v>
      </c>
      <c r="E767" s="65">
        <f t="shared" si="34"/>
        <v>9.2427184466019412</v>
      </c>
      <c r="F767" s="63">
        <f t="shared" si="33"/>
        <v>9</v>
      </c>
    </row>
    <row r="768" spans="1:6" x14ac:dyDescent="0.4">
      <c r="A768" s="6" t="s">
        <v>605</v>
      </c>
      <c r="B768" s="7">
        <v>144</v>
      </c>
      <c r="C768" s="6" t="s">
        <v>529</v>
      </c>
      <c r="D768" s="73">
        <v>8</v>
      </c>
      <c r="E768" s="65">
        <f t="shared" si="34"/>
        <v>9.2427184466019412</v>
      </c>
      <c r="F768" s="63">
        <f t="shared" si="33"/>
        <v>9</v>
      </c>
    </row>
    <row r="769" spans="1:6" x14ac:dyDescent="0.4">
      <c r="A769" s="6" t="s">
        <v>436</v>
      </c>
      <c r="B769" s="7">
        <v>103</v>
      </c>
      <c r="C769" s="6"/>
      <c r="D769" s="73">
        <v>5</v>
      </c>
      <c r="E769" s="65">
        <v>7</v>
      </c>
      <c r="F769" s="63">
        <v>7</v>
      </c>
    </row>
    <row r="770" spans="1:6" x14ac:dyDescent="0.4">
      <c r="A770" s="6" t="s">
        <v>437</v>
      </c>
      <c r="B770" s="7">
        <v>103</v>
      </c>
      <c r="C770" s="6"/>
      <c r="D770" s="73">
        <v>5</v>
      </c>
      <c r="E770" s="65">
        <f t="shared" ref="E770:E784" si="35">D770/10.3*G$2</f>
        <v>5.7766990291262132</v>
      </c>
      <c r="F770" s="63">
        <f t="shared" si="33"/>
        <v>6</v>
      </c>
    </row>
    <row r="771" spans="1:6" x14ac:dyDescent="0.4">
      <c r="A771" s="6" t="s">
        <v>438</v>
      </c>
      <c r="B771" s="7">
        <v>103</v>
      </c>
      <c r="C771" s="6"/>
      <c r="D771" s="73">
        <v>5</v>
      </c>
      <c r="E771" s="65">
        <f t="shared" si="35"/>
        <v>5.7766990291262132</v>
      </c>
      <c r="F771" s="63">
        <f t="shared" ref="F771:F834" si="36">ROUND(E771,0)</f>
        <v>6</v>
      </c>
    </row>
    <row r="772" spans="1:6" x14ac:dyDescent="0.4">
      <c r="A772" s="6" t="s">
        <v>439</v>
      </c>
      <c r="B772" s="7">
        <v>103</v>
      </c>
      <c r="C772" s="6"/>
      <c r="D772" s="73">
        <v>5</v>
      </c>
      <c r="E772" s="65">
        <f t="shared" si="35"/>
        <v>5.7766990291262132</v>
      </c>
      <c r="F772" s="63">
        <f t="shared" si="36"/>
        <v>6</v>
      </c>
    </row>
    <row r="773" spans="1:6" x14ac:dyDescent="0.4">
      <c r="A773" s="6" t="s">
        <v>440</v>
      </c>
      <c r="B773" s="7">
        <v>103</v>
      </c>
      <c r="C773" s="6"/>
      <c r="D773" s="73">
        <v>5</v>
      </c>
      <c r="E773" s="65">
        <f t="shared" si="35"/>
        <v>5.7766990291262132</v>
      </c>
      <c r="F773" s="63">
        <f t="shared" si="36"/>
        <v>6</v>
      </c>
    </row>
    <row r="774" spans="1:6" x14ac:dyDescent="0.4">
      <c r="A774" s="6" t="s">
        <v>468</v>
      </c>
      <c r="B774" s="7">
        <v>128</v>
      </c>
      <c r="C774" s="6"/>
      <c r="D774" s="73">
        <v>6</v>
      </c>
      <c r="E774" s="65">
        <f t="shared" si="35"/>
        <v>6.9320388349514559</v>
      </c>
      <c r="F774" s="63">
        <f t="shared" si="36"/>
        <v>7</v>
      </c>
    </row>
    <row r="775" spans="1:6" x14ac:dyDescent="0.4">
      <c r="A775" s="6" t="s">
        <v>539</v>
      </c>
      <c r="B775" s="7">
        <v>128</v>
      </c>
      <c r="C775" s="6"/>
      <c r="D775" s="73">
        <v>10</v>
      </c>
      <c r="E775" s="65">
        <f t="shared" si="35"/>
        <v>11.553398058252426</v>
      </c>
      <c r="F775" s="63">
        <f t="shared" si="36"/>
        <v>12</v>
      </c>
    </row>
    <row r="776" spans="1:6" x14ac:dyDescent="0.4">
      <c r="A776" s="6" t="s">
        <v>538</v>
      </c>
      <c r="B776" s="7">
        <v>128</v>
      </c>
      <c r="C776" s="6" t="s">
        <v>529</v>
      </c>
      <c r="D776" s="73">
        <v>10</v>
      </c>
      <c r="E776" s="65">
        <f t="shared" si="35"/>
        <v>11.553398058252426</v>
      </c>
      <c r="F776" s="63">
        <f t="shared" si="36"/>
        <v>12</v>
      </c>
    </row>
    <row r="777" spans="1:6" x14ac:dyDescent="0.4">
      <c r="A777" s="6" t="s">
        <v>604</v>
      </c>
      <c r="B777" s="7">
        <v>144</v>
      </c>
      <c r="C777" s="6"/>
      <c r="D777" s="73">
        <v>15</v>
      </c>
      <c r="E777" s="65">
        <f t="shared" si="35"/>
        <v>17.33009708737864</v>
      </c>
      <c r="F777" s="63">
        <f t="shared" si="36"/>
        <v>17</v>
      </c>
    </row>
    <row r="778" spans="1:6" x14ac:dyDescent="0.4">
      <c r="A778" s="6" t="s">
        <v>603</v>
      </c>
      <c r="B778" s="7">
        <v>144</v>
      </c>
      <c r="C778" s="6"/>
      <c r="D778" s="73">
        <v>15</v>
      </c>
      <c r="E778" s="65">
        <f t="shared" si="35"/>
        <v>17.33009708737864</v>
      </c>
      <c r="F778" s="63">
        <f t="shared" si="36"/>
        <v>17</v>
      </c>
    </row>
    <row r="779" spans="1:6" x14ac:dyDescent="0.4">
      <c r="A779" s="6" t="s">
        <v>466</v>
      </c>
      <c r="B779" s="7">
        <v>112</v>
      </c>
      <c r="C779" s="6"/>
      <c r="D779" s="73">
        <v>4</v>
      </c>
      <c r="E779" s="65">
        <f t="shared" si="35"/>
        <v>4.6213592233009706</v>
      </c>
      <c r="F779" s="63">
        <f t="shared" si="36"/>
        <v>5</v>
      </c>
    </row>
    <row r="780" spans="1:6" x14ac:dyDescent="0.4">
      <c r="A780" s="9" t="s">
        <v>467</v>
      </c>
      <c r="B780" s="10">
        <v>112</v>
      </c>
      <c r="C780" s="9"/>
      <c r="D780" s="73">
        <v>4</v>
      </c>
      <c r="E780" s="65">
        <f t="shared" si="35"/>
        <v>4.6213592233009706</v>
      </c>
      <c r="F780" s="63">
        <f t="shared" si="36"/>
        <v>5</v>
      </c>
    </row>
    <row r="781" spans="1:6" x14ac:dyDescent="0.4">
      <c r="A781" s="6" t="s">
        <v>536</v>
      </c>
      <c r="B781" s="7">
        <v>128</v>
      </c>
      <c r="C781" s="6"/>
      <c r="D781" s="73">
        <v>11.5</v>
      </c>
      <c r="E781" s="65">
        <f t="shared" si="35"/>
        <v>13.28640776699029</v>
      </c>
      <c r="F781" s="63">
        <f t="shared" si="36"/>
        <v>13</v>
      </c>
    </row>
    <row r="782" spans="1:6" x14ac:dyDescent="0.4">
      <c r="A782" s="6" t="s">
        <v>537</v>
      </c>
      <c r="B782" s="7">
        <v>128</v>
      </c>
      <c r="C782" s="6"/>
      <c r="D782" s="73">
        <v>11.5</v>
      </c>
      <c r="E782" s="65">
        <f t="shared" si="35"/>
        <v>13.28640776699029</v>
      </c>
      <c r="F782" s="63">
        <f t="shared" si="36"/>
        <v>13</v>
      </c>
    </row>
    <row r="783" spans="1:6" x14ac:dyDescent="0.4">
      <c r="A783" s="6" t="s">
        <v>464</v>
      </c>
      <c r="B783" s="7">
        <v>112</v>
      </c>
      <c r="C783" s="6"/>
      <c r="D783" s="73">
        <v>4</v>
      </c>
      <c r="E783" s="65">
        <f t="shared" si="35"/>
        <v>4.6213592233009706</v>
      </c>
      <c r="F783" s="63">
        <f t="shared" si="36"/>
        <v>5</v>
      </c>
    </row>
    <row r="784" spans="1:6" x14ac:dyDescent="0.4">
      <c r="A784" s="6" t="s">
        <v>465</v>
      </c>
      <c r="B784" s="7">
        <v>112</v>
      </c>
      <c r="C784" s="6"/>
      <c r="D784" s="73">
        <v>4</v>
      </c>
      <c r="E784" s="65">
        <f t="shared" si="35"/>
        <v>4.6213592233009706</v>
      </c>
      <c r="F784" s="63">
        <f t="shared" si="36"/>
        <v>5</v>
      </c>
    </row>
    <row r="785" spans="1:6" x14ac:dyDescent="0.4">
      <c r="A785" s="6" t="s">
        <v>453</v>
      </c>
      <c r="B785" s="7">
        <v>110</v>
      </c>
      <c r="C785" s="6"/>
      <c r="D785" s="73">
        <v>5</v>
      </c>
      <c r="E785" s="65">
        <v>8</v>
      </c>
      <c r="F785" s="63">
        <f t="shared" si="36"/>
        <v>8</v>
      </c>
    </row>
    <row r="786" spans="1:6" x14ac:dyDescent="0.4">
      <c r="A786" s="6" t="s">
        <v>455</v>
      </c>
      <c r="B786" s="7">
        <v>110</v>
      </c>
      <c r="C786" s="6"/>
      <c r="D786" s="73">
        <v>5</v>
      </c>
      <c r="E786" s="65">
        <f t="shared" ref="E786:E831" si="37">D786/10.3*G$2</f>
        <v>5.7766990291262132</v>
      </c>
      <c r="F786" s="63">
        <f t="shared" si="36"/>
        <v>6</v>
      </c>
    </row>
    <row r="787" spans="1:6" x14ac:dyDescent="0.4">
      <c r="A787" s="6" t="s">
        <v>454</v>
      </c>
      <c r="B787" s="7">
        <v>110</v>
      </c>
      <c r="C787" s="6"/>
      <c r="D787" s="73">
        <v>5</v>
      </c>
      <c r="E787" s="65">
        <f t="shared" si="37"/>
        <v>5.7766990291262132</v>
      </c>
      <c r="F787" s="63">
        <f t="shared" si="36"/>
        <v>6</v>
      </c>
    </row>
    <row r="788" spans="1:6" x14ac:dyDescent="0.4">
      <c r="A788" s="6" t="s">
        <v>456</v>
      </c>
      <c r="B788" s="7">
        <v>110</v>
      </c>
      <c r="C788" s="6"/>
      <c r="D788" s="73">
        <v>5</v>
      </c>
      <c r="E788" s="65">
        <f t="shared" si="37"/>
        <v>5.7766990291262132</v>
      </c>
      <c r="F788" s="63">
        <f t="shared" si="36"/>
        <v>6</v>
      </c>
    </row>
    <row r="789" spans="1:6" x14ac:dyDescent="0.4">
      <c r="A789" s="6" t="s">
        <v>457</v>
      </c>
      <c r="B789" s="7">
        <v>110</v>
      </c>
      <c r="C789" s="6"/>
      <c r="D789" s="73">
        <v>5</v>
      </c>
      <c r="E789" s="65">
        <f t="shared" si="37"/>
        <v>5.7766990291262132</v>
      </c>
      <c r="F789" s="63">
        <f t="shared" si="36"/>
        <v>6</v>
      </c>
    </row>
    <row r="790" spans="1:6" x14ac:dyDescent="0.4">
      <c r="A790" s="6" t="s">
        <v>458</v>
      </c>
      <c r="B790" s="7">
        <v>110</v>
      </c>
      <c r="C790" s="6"/>
      <c r="D790" s="73">
        <v>5</v>
      </c>
      <c r="E790" s="65">
        <f t="shared" si="37"/>
        <v>5.7766990291262132</v>
      </c>
      <c r="F790" s="63">
        <f t="shared" si="36"/>
        <v>6</v>
      </c>
    </row>
    <row r="791" spans="1:6" x14ac:dyDescent="0.4">
      <c r="A791" s="6" t="s">
        <v>45</v>
      </c>
      <c r="B791" s="8">
        <v>21</v>
      </c>
      <c r="C791" s="6"/>
      <c r="D791" s="73">
        <v>2.5</v>
      </c>
      <c r="E791" s="65">
        <f t="shared" si="37"/>
        <v>2.8883495145631066</v>
      </c>
      <c r="F791" s="63">
        <f t="shared" si="36"/>
        <v>3</v>
      </c>
    </row>
    <row r="792" spans="1:6" x14ac:dyDescent="0.4">
      <c r="A792" s="6" t="s">
        <v>459</v>
      </c>
      <c r="B792" s="7">
        <v>110</v>
      </c>
      <c r="C792" s="6"/>
      <c r="D792" s="73">
        <v>6</v>
      </c>
      <c r="E792" s="65">
        <f t="shared" si="37"/>
        <v>6.9320388349514559</v>
      </c>
      <c r="F792" s="63">
        <f t="shared" si="36"/>
        <v>7</v>
      </c>
    </row>
    <row r="793" spans="1:6" x14ac:dyDescent="0.4">
      <c r="A793" s="6" t="s">
        <v>1138</v>
      </c>
      <c r="B793" s="7">
        <v>83</v>
      </c>
      <c r="C793" s="6"/>
      <c r="D793" s="73">
        <v>7</v>
      </c>
      <c r="E793" s="65">
        <f t="shared" si="37"/>
        <v>8.0873786407766985</v>
      </c>
      <c r="F793" s="63">
        <f t="shared" si="36"/>
        <v>8</v>
      </c>
    </row>
    <row r="794" spans="1:6" x14ac:dyDescent="0.4">
      <c r="A794" s="6" t="s">
        <v>509</v>
      </c>
      <c r="B794" s="7">
        <v>119</v>
      </c>
      <c r="C794" s="6"/>
      <c r="D794" s="73">
        <v>7</v>
      </c>
      <c r="E794" s="65">
        <f t="shared" si="37"/>
        <v>8.0873786407766985</v>
      </c>
      <c r="F794" s="63">
        <f t="shared" si="36"/>
        <v>8</v>
      </c>
    </row>
    <row r="795" spans="1:6" x14ac:dyDescent="0.4">
      <c r="A795" s="6" t="s">
        <v>40</v>
      </c>
      <c r="B795" s="8">
        <v>19</v>
      </c>
      <c r="C795" s="6" t="s">
        <v>39</v>
      </c>
      <c r="D795" s="73">
        <v>15</v>
      </c>
      <c r="E795" s="65">
        <f t="shared" si="37"/>
        <v>17.33009708737864</v>
      </c>
      <c r="F795" s="63">
        <f t="shared" si="36"/>
        <v>17</v>
      </c>
    </row>
    <row r="796" spans="1:6" x14ac:dyDescent="0.4">
      <c r="A796" s="6" t="s">
        <v>40</v>
      </c>
      <c r="B796" s="7">
        <v>19</v>
      </c>
      <c r="C796" s="6"/>
      <c r="D796" s="73">
        <v>15</v>
      </c>
      <c r="E796" s="65">
        <f t="shared" si="37"/>
        <v>17.33009708737864</v>
      </c>
      <c r="F796" s="63">
        <f t="shared" si="36"/>
        <v>17</v>
      </c>
    </row>
    <row r="797" spans="1:6" x14ac:dyDescent="0.4">
      <c r="A797" s="6" t="s">
        <v>145</v>
      </c>
      <c r="B797" s="8">
        <v>38</v>
      </c>
      <c r="C797" s="6"/>
      <c r="D797" s="73">
        <v>10</v>
      </c>
      <c r="E797" s="65">
        <f t="shared" si="37"/>
        <v>11.553398058252426</v>
      </c>
      <c r="F797" s="63">
        <f t="shared" si="36"/>
        <v>12</v>
      </c>
    </row>
    <row r="798" spans="1:6" x14ac:dyDescent="0.4">
      <c r="A798" s="6" t="s">
        <v>147</v>
      </c>
      <c r="B798" s="8">
        <v>38</v>
      </c>
      <c r="C798" s="6"/>
      <c r="D798" s="73">
        <v>10</v>
      </c>
      <c r="E798" s="65">
        <f t="shared" si="37"/>
        <v>11.553398058252426</v>
      </c>
      <c r="F798" s="63">
        <f t="shared" si="36"/>
        <v>12</v>
      </c>
    </row>
    <row r="799" spans="1:6" x14ac:dyDescent="0.4">
      <c r="A799" s="6" t="s">
        <v>150</v>
      </c>
      <c r="B799" s="8">
        <v>38</v>
      </c>
      <c r="C799" s="6"/>
      <c r="D799" s="73">
        <v>10</v>
      </c>
      <c r="E799" s="65">
        <f t="shared" si="37"/>
        <v>11.553398058252426</v>
      </c>
      <c r="F799" s="63">
        <f t="shared" si="36"/>
        <v>12</v>
      </c>
    </row>
    <row r="800" spans="1:6" x14ac:dyDescent="0.4">
      <c r="A800" s="6" t="s">
        <v>151</v>
      </c>
      <c r="B800" s="8">
        <v>38</v>
      </c>
      <c r="C800" s="6"/>
      <c r="D800" s="73">
        <v>10</v>
      </c>
      <c r="E800" s="65">
        <f t="shared" si="37"/>
        <v>11.553398058252426</v>
      </c>
      <c r="F800" s="63">
        <f t="shared" si="36"/>
        <v>12</v>
      </c>
    </row>
    <row r="801" spans="1:6" x14ac:dyDescent="0.4">
      <c r="A801" s="6" t="s">
        <v>153</v>
      </c>
      <c r="B801" s="8">
        <v>38</v>
      </c>
      <c r="C801" s="6"/>
      <c r="D801" s="73">
        <v>10</v>
      </c>
      <c r="E801" s="65">
        <f t="shared" si="37"/>
        <v>11.553398058252426</v>
      </c>
      <c r="F801" s="63">
        <f t="shared" si="36"/>
        <v>12</v>
      </c>
    </row>
    <row r="802" spans="1:6" x14ac:dyDescent="0.4">
      <c r="A802" s="6" t="s">
        <v>154</v>
      </c>
      <c r="B802" s="8">
        <v>38</v>
      </c>
      <c r="C802" s="6"/>
      <c r="D802" s="73">
        <v>10</v>
      </c>
      <c r="E802" s="65">
        <f t="shared" si="37"/>
        <v>11.553398058252426</v>
      </c>
      <c r="F802" s="63">
        <f t="shared" si="36"/>
        <v>12</v>
      </c>
    </row>
    <row r="803" spans="1:6" x14ac:dyDescent="0.4">
      <c r="A803" s="6" t="s">
        <v>152</v>
      </c>
      <c r="B803" s="8">
        <v>38</v>
      </c>
      <c r="C803" s="6"/>
      <c r="D803" s="73">
        <v>15</v>
      </c>
      <c r="E803" s="65">
        <f t="shared" si="37"/>
        <v>17.33009708737864</v>
      </c>
      <c r="F803" s="63">
        <f t="shared" si="36"/>
        <v>17</v>
      </c>
    </row>
    <row r="804" spans="1:6" x14ac:dyDescent="0.4">
      <c r="A804" s="6" t="s">
        <v>134</v>
      </c>
      <c r="B804" s="8">
        <v>37</v>
      </c>
      <c r="C804" s="6" t="s">
        <v>133</v>
      </c>
      <c r="D804" s="73">
        <v>15</v>
      </c>
      <c r="E804" s="65">
        <f t="shared" si="37"/>
        <v>17.33009708737864</v>
      </c>
      <c r="F804" s="63">
        <f t="shared" si="36"/>
        <v>17</v>
      </c>
    </row>
    <row r="805" spans="1:6" x14ac:dyDescent="0.4">
      <c r="A805" s="6" t="s">
        <v>1008</v>
      </c>
      <c r="B805" s="7">
        <v>133</v>
      </c>
      <c r="C805" s="6"/>
      <c r="D805" s="73">
        <v>15</v>
      </c>
      <c r="E805" s="65">
        <f t="shared" si="37"/>
        <v>17.33009708737864</v>
      </c>
      <c r="F805" s="63">
        <f t="shared" si="36"/>
        <v>17</v>
      </c>
    </row>
    <row r="806" spans="1:6" x14ac:dyDescent="0.4">
      <c r="A806" s="6" t="s">
        <v>1021</v>
      </c>
      <c r="B806" s="8">
        <v>38</v>
      </c>
      <c r="C806" s="6"/>
      <c r="D806" s="73">
        <v>17</v>
      </c>
      <c r="E806" s="65">
        <f t="shared" si="37"/>
        <v>19.640776699029125</v>
      </c>
      <c r="F806" s="63">
        <f t="shared" si="36"/>
        <v>20</v>
      </c>
    </row>
    <row r="807" spans="1:6" x14ac:dyDescent="0.4">
      <c r="A807" s="6" t="s">
        <v>575</v>
      </c>
      <c r="B807" s="7">
        <v>138</v>
      </c>
      <c r="C807" s="6"/>
      <c r="D807" s="73">
        <v>10</v>
      </c>
      <c r="E807" s="65">
        <f t="shared" si="37"/>
        <v>11.553398058252426</v>
      </c>
      <c r="F807" s="63">
        <f t="shared" si="36"/>
        <v>12</v>
      </c>
    </row>
    <row r="808" spans="1:6" x14ac:dyDescent="0.4">
      <c r="A808" s="6" t="s">
        <v>149</v>
      </c>
      <c r="B808" s="8">
        <v>38</v>
      </c>
      <c r="C808" s="6"/>
      <c r="D808" s="73">
        <v>15</v>
      </c>
      <c r="E808" s="65">
        <f t="shared" si="37"/>
        <v>17.33009708737864</v>
      </c>
      <c r="F808" s="63">
        <f t="shared" si="36"/>
        <v>17</v>
      </c>
    </row>
    <row r="809" spans="1:6" x14ac:dyDescent="0.4">
      <c r="A809" s="6" t="s">
        <v>148</v>
      </c>
      <c r="B809" s="8">
        <v>38</v>
      </c>
      <c r="C809" s="6"/>
      <c r="D809" s="73">
        <v>15</v>
      </c>
      <c r="E809" s="65">
        <f t="shared" si="37"/>
        <v>17.33009708737864</v>
      </c>
      <c r="F809" s="63">
        <f t="shared" si="36"/>
        <v>17</v>
      </c>
    </row>
    <row r="810" spans="1:6" x14ac:dyDescent="0.4">
      <c r="A810" s="6" t="s">
        <v>146</v>
      </c>
      <c r="B810" s="8">
        <v>38</v>
      </c>
      <c r="C810" s="6"/>
      <c r="D810" s="73">
        <v>15</v>
      </c>
      <c r="E810" s="65">
        <f t="shared" si="37"/>
        <v>17.33009708737864</v>
      </c>
      <c r="F810" s="63">
        <f t="shared" si="36"/>
        <v>17</v>
      </c>
    </row>
    <row r="811" spans="1:6" x14ac:dyDescent="0.4">
      <c r="A811" s="6" t="s">
        <v>1104</v>
      </c>
      <c r="B811" s="7">
        <v>25</v>
      </c>
      <c r="C811" s="6"/>
      <c r="D811" s="73">
        <v>20</v>
      </c>
      <c r="E811" s="65">
        <f t="shared" si="37"/>
        <v>23.106796116504853</v>
      </c>
      <c r="F811" s="63">
        <f t="shared" si="36"/>
        <v>23</v>
      </c>
    </row>
    <row r="812" spans="1:6" x14ac:dyDescent="0.4">
      <c r="A812" s="6" t="s">
        <v>1599</v>
      </c>
      <c r="B812" s="7">
        <v>25</v>
      </c>
      <c r="C812" s="6"/>
      <c r="D812" s="73">
        <v>20</v>
      </c>
      <c r="E812" s="65">
        <f t="shared" si="37"/>
        <v>23.106796116504853</v>
      </c>
      <c r="F812" s="63">
        <f t="shared" si="36"/>
        <v>23</v>
      </c>
    </row>
    <row r="813" spans="1:6" x14ac:dyDescent="0.4">
      <c r="A813" s="9" t="s">
        <v>554</v>
      </c>
      <c r="B813" s="10" t="s">
        <v>1667</v>
      </c>
      <c r="C813" s="9"/>
      <c r="D813" s="73">
        <v>25</v>
      </c>
      <c r="E813" s="65">
        <f t="shared" si="37"/>
        <v>28.883495145631066</v>
      </c>
      <c r="F813" s="63">
        <f t="shared" si="36"/>
        <v>29</v>
      </c>
    </row>
    <row r="814" spans="1:6" x14ac:dyDescent="0.4">
      <c r="A814" s="6" t="s">
        <v>555</v>
      </c>
      <c r="B814" s="7">
        <v>134</v>
      </c>
      <c r="C814" s="6"/>
      <c r="D814" s="73">
        <v>25</v>
      </c>
      <c r="E814" s="65">
        <f t="shared" si="37"/>
        <v>28.883495145631066</v>
      </c>
      <c r="F814" s="63">
        <f t="shared" si="36"/>
        <v>29</v>
      </c>
    </row>
    <row r="815" spans="1:6" x14ac:dyDescent="0.4">
      <c r="A815" s="6" t="s">
        <v>551</v>
      </c>
      <c r="B815" s="7">
        <v>133</v>
      </c>
      <c r="C815" s="6"/>
      <c r="D815" s="73">
        <v>15</v>
      </c>
      <c r="E815" s="65">
        <f t="shared" si="37"/>
        <v>17.33009708737864</v>
      </c>
      <c r="F815" s="63">
        <f t="shared" si="36"/>
        <v>17</v>
      </c>
    </row>
    <row r="816" spans="1:6" x14ac:dyDescent="0.4">
      <c r="A816" s="6" t="s">
        <v>556</v>
      </c>
      <c r="B816" s="7">
        <v>134</v>
      </c>
      <c r="C816" s="6"/>
      <c r="D816" s="73">
        <v>25</v>
      </c>
      <c r="E816" s="65">
        <f t="shared" si="37"/>
        <v>28.883495145631066</v>
      </c>
      <c r="F816" s="63">
        <f t="shared" si="36"/>
        <v>29</v>
      </c>
    </row>
    <row r="817" spans="1:6" x14ac:dyDescent="0.4">
      <c r="A817" s="6" t="s">
        <v>557</v>
      </c>
      <c r="B817" s="7">
        <v>134</v>
      </c>
      <c r="C817" s="6"/>
      <c r="D817" s="73">
        <v>25</v>
      </c>
      <c r="E817" s="65">
        <f t="shared" si="37"/>
        <v>28.883495145631066</v>
      </c>
      <c r="F817" s="63">
        <f t="shared" si="36"/>
        <v>29</v>
      </c>
    </row>
    <row r="818" spans="1:6" x14ac:dyDescent="0.4">
      <c r="A818" s="6" t="s">
        <v>552</v>
      </c>
      <c r="B818" s="7">
        <v>133</v>
      </c>
      <c r="C818" s="6"/>
      <c r="D818" s="73">
        <v>15</v>
      </c>
      <c r="E818" s="65">
        <f t="shared" si="37"/>
        <v>17.33009708737864</v>
      </c>
      <c r="F818" s="63">
        <f t="shared" si="36"/>
        <v>17</v>
      </c>
    </row>
    <row r="819" spans="1:6" x14ac:dyDescent="0.4">
      <c r="A819" s="6" t="s">
        <v>931</v>
      </c>
      <c r="B819" s="8">
        <v>133</v>
      </c>
      <c r="C819" s="6"/>
      <c r="D819" s="73">
        <v>15</v>
      </c>
      <c r="E819" s="65">
        <f t="shared" si="37"/>
        <v>17.33009708737864</v>
      </c>
      <c r="F819" s="63">
        <f t="shared" si="36"/>
        <v>17</v>
      </c>
    </row>
    <row r="820" spans="1:6" x14ac:dyDescent="0.4">
      <c r="A820" s="6" t="s">
        <v>941</v>
      </c>
      <c r="B820" s="8">
        <v>133</v>
      </c>
      <c r="C820" s="6"/>
      <c r="D820" s="73">
        <v>15</v>
      </c>
      <c r="E820" s="65">
        <f t="shared" si="37"/>
        <v>17.33009708737864</v>
      </c>
      <c r="F820" s="63">
        <f t="shared" si="36"/>
        <v>17</v>
      </c>
    </row>
    <row r="821" spans="1:6" x14ac:dyDescent="0.4">
      <c r="A821" s="6" t="s">
        <v>558</v>
      </c>
      <c r="B821" s="7">
        <v>134</v>
      </c>
      <c r="C821" s="6"/>
      <c r="D821" s="73">
        <v>25</v>
      </c>
      <c r="E821" s="65">
        <f t="shared" si="37"/>
        <v>28.883495145631066</v>
      </c>
      <c r="F821" s="63">
        <f t="shared" si="36"/>
        <v>29</v>
      </c>
    </row>
    <row r="822" spans="1:6" x14ac:dyDescent="0.4">
      <c r="A822" s="6" t="s">
        <v>548</v>
      </c>
      <c r="B822" s="7">
        <v>133</v>
      </c>
      <c r="C822" s="6"/>
      <c r="D822" s="73">
        <v>25</v>
      </c>
      <c r="E822" s="65">
        <f t="shared" si="37"/>
        <v>28.883495145631066</v>
      </c>
      <c r="F822" s="63">
        <f t="shared" si="36"/>
        <v>29</v>
      </c>
    </row>
    <row r="823" spans="1:6" x14ac:dyDescent="0.4">
      <c r="A823" s="6" t="s">
        <v>550</v>
      </c>
      <c r="B823" s="7" t="s">
        <v>1667</v>
      </c>
      <c r="C823" s="6"/>
      <c r="D823" s="73">
        <v>20</v>
      </c>
      <c r="E823" s="65">
        <f t="shared" si="37"/>
        <v>23.106796116504853</v>
      </c>
      <c r="F823" s="63">
        <f t="shared" si="36"/>
        <v>23</v>
      </c>
    </row>
    <row r="824" spans="1:6" x14ac:dyDescent="0.4">
      <c r="A824" s="6" t="s">
        <v>553</v>
      </c>
      <c r="B824" s="7">
        <v>133</v>
      </c>
      <c r="C824" s="6"/>
      <c r="D824" s="73">
        <v>20</v>
      </c>
      <c r="E824" s="65">
        <f t="shared" si="37"/>
        <v>23.106796116504853</v>
      </c>
      <c r="F824" s="63">
        <f t="shared" si="36"/>
        <v>23</v>
      </c>
    </row>
    <row r="825" spans="1:6" x14ac:dyDescent="0.4">
      <c r="A825" s="6" t="s">
        <v>1099</v>
      </c>
      <c r="B825" s="7">
        <v>133</v>
      </c>
      <c r="C825" s="6"/>
      <c r="D825" s="73">
        <v>30</v>
      </c>
      <c r="E825" s="65">
        <f t="shared" si="37"/>
        <v>34.660194174757279</v>
      </c>
      <c r="F825" s="63">
        <f t="shared" si="36"/>
        <v>35</v>
      </c>
    </row>
    <row r="826" spans="1:6" x14ac:dyDescent="0.4">
      <c r="A826" s="6" t="s">
        <v>763</v>
      </c>
      <c r="B826" s="7">
        <v>125</v>
      </c>
      <c r="C826" s="6" t="s">
        <v>764</v>
      </c>
      <c r="D826" s="73">
        <v>3</v>
      </c>
      <c r="E826" s="65">
        <f t="shared" si="37"/>
        <v>3.4660194174757279</v>
      </c>
      <c r="F826" s="63">
        <f t="shared" si="36"/>
        <v>3</v>
      </c>
    </row>
    <row r="827" spans="1:6" x14ac:dyDescent="0.4">
      <c r="A827" s="6" t="s">
        <v>765</v>
      </c>
      <c r="B827" s="7">
        <v>107</v>
      </c>
      <c r="C827" s="6" t="s">
        <v>766</v>
      </c>
      <c r="D827" s="73">
        <v>6</v>
      </c>
      <c r="E827" s="65">
        <f t="shared" si="37"/>
        <v>6.9320388349514559</v>
      </c>
      <c r="F827" s="63">
        <f t="shared" si="36"/>
        <v>7</v>
      </c>
    </row>
    <row r="828" spans="1:6" x14ac:dyDescent="0.4">
      <c r="A828" s="6" t="s">
        <v>767</v>
      </c>
      <c r="B828" s="7">
        <v>107</v>
      </c>
      <c r="C828" s="6" t="s">
        <v>770</v>
      </c>
      <c r="D828" s="73">
        <v>6</v>
      </c>
      <c r="E828" s="65">
        <f t="shared" si="37"/>
        <v>6.9320388349514559</v>
      </c>
      <c r="F828" s="63">
        <f t="shared" si="36"/>
        <v>7</v>
      </c>
    </row>
    <row r="829" spans="1:6" ht="21.75" customHeight="1" x14ac:dyDescent="0.4">
      <c r="A829" s="6" t="s">
        <v>768</v>
      </c>
      <c r="B829" s="7">
        <v>107</v>
      </c>
      <c r="C829" s="6" t="s">
        <v>771</v>
      </c>
      <c r="D829" s="73">
        <v>8</v>
      </c>
      <c r="E829" s="65">
        <f t="shared" si="37"/>
        <v>9.2427184466019412</v>
      </c>
      <c r="F829" s="63">
        <f t="shared" si="36"/>
        <v>9</v>
      </c>
    </row>
    <row r="830" spans="1:6" x14ac:dyDescent="0.4">
      <c r="A830" s="6" t="s">
        <v>769</v>
      </c>
      <c r="B830" s="7">
        <v>107</v>
      </c>
      <c r="C830" s="6" t="s">
        <v>772</v>
      </c>
      <c r="D830" s="73">
        <v>10</v>
      </c>
      <c r="E830" s="65">
        <f t="shared" si="37"/>
        <v>11.553398058252426</v>
      </c>
      <c r="F830" s="63">
        <v>12</v>
      </c>
    </row>
    <row r="831" spans="1:6" x14ac:dyDescent="0.4">
      <c r="A831" s="6" t="s">
        <v>777</v>
      </c>
      <c r="B831" s="7">
        <v>123</v>
      </c>
      <c r="C831" s="6" t="s">
        <v>778</v>
      </c>
      <c r="D831" s="73">
        <v>6</v>
      </c>
      <c r="E831" s="65">
        <f t="shared" si="37"/>
        <v>6.9320388349514559</v>
      </c>
      <c r="F831" s="63">
        <f t="shared" si="36"/>
        <v>7</v>
      </c>
    </row>
    <row r="832" spans="1:6" x14ac:dyDescent="0.4">
      <c r="A832" s="6" t="s">
        <v>779</v>
      </c>
      <c r="B832" s="7">
        <v>124</v>
      </c>
      <c r="C832" s="6" t="s">
        <v>771</v>
      </c>
      <c r="D832" s="73">
        <v>9</v>
      </c>
      <c r="E832" s="65">
        <v>12</v>
      </c>
      <c r="F832" s="63">
        <v>12</v>
      </c>
    </row>
    <row r="833" spans="1:7" x14ac:dyDescent="0.4">
      <c r="A833" s="6" t="s">
        <v>785</v>
      </c>
      <c r="B833" s="7">
        <v>124</v>
      </c>
      <c r="C833" s="6" t="s">
        <v>772</v>
      </c>
      <c r="D833" s="73">
        <v>10</v>
      </c>
      <c r="E833" s="65">
        <f t="shared" ref="E833:E864" si="38">D833/10.3*G$2</f>
        <v>11.553398058252426</v>
      </c>
      <c r="F833" s="63">
        <f t="shared" si="36"/>
        <v>12</v>
      </c>
    </row>
    <row r="834" spans="1:7" x14ac:dyDescent="0.4">
      <c r="A834" s="6" t="s">
        <v>786</v>
      </c>
      <c r="B834" s="7">
        <v>124</v>
      </c>
      <c r="C834" s="6" t="s">
        <v>780</v>
      </c>
      <c r="D834" s="73">
        <v>12</v>
      </c>
      <c r="E834" s="65">
        <f t="shared" si="38"/>
        <v>13.864077669902912</v>
      </c>
      <c r="F834" s="63">
        <f t="shared" si="36"/>
        <v>14</v>
      </c>
      <c r="G834" s="5" t="s">
        <v>1668</v>
      </c>
    </row>
    <row r="835" spans="1:7" x14ac:dyDescent="0.4">
      <c r="A835" s="6" t="s">
        <v>787</v>
      </c>
      <c r="B835" s="7">
        <v>124</v>
      </c>
      <c r="C835" s="6" t="s">
        <v>781</v>
      </c>
      <c r="D835" s="73">
        <v>8</v>
      </c>
      <c r="E835" s="65">
        <f t="shared" si="38"/>
        <v>9.2427184466019412</v>
      </c>
      <c r="F835" s="63">
        <v>20</v>
      </c>
    </row>
    <row r="836" spans="1:7" x14ac:dyDescent="0.4">
      <c r="A836" s="6" t="s">
        <v>1014</v>
      </c>
      <c r="B836" s="7">
        <v>53</v>
      </c>
      <c r="C836" s="6" t="s">
        <v>1012</v>
      </c>
      <c r="D836" s="73">
        <v>10</v>
      </c>
      <c r="E836" s="65">
        <f t="shared" si="38"/>
        <v>11.553398058252426</v>
      </c>
      <c r="F836" s="63">
        <f t="shared" ref="F836:F898" si="39">ROUND(E836,0)</f>
        <v>12</v>
      </c>
    </row>
    <row r="837" spans="1:7" x14ac:dyDescent="0.4">
      <c r="A837" s="6" t="s">
        <v>789</v>
      </c>
      <c r="B837" s="7">
        <v>126</v>
      </c>
      <c r="C837" s="6" t="s">
        <v>788</v>
      </c>
      <c r="D837" s="73">
        <v>22</v>
      </c>
      <c r="E837" s="65">
        <f t="shared" si="38"/>
        <v>25.417475728155338</v>
      </c>
      <c r="F837" s="63">
        <f t="shared" si="39"/>
        <v>25</v>
      </c>
    </row>
    <row r="838" spans="1:7" x14ac:dyDescent="0.4">
      <c r="A838" s="6" t="s">
        <v>790</v>
      </c>
      <c r="B838" s="7">
        <v>125</v>
      </c>
      <c r="C838" s="6" t="s">
        <v>783</v>
      </c>
      <c r="D838" s="73">
        <v>35</v>
      </c>
      <c r="E838" s="65">
        <f t="shared" si="38"/>
        <v>40.436893203883493</v>
      </c>
      <c r="F838" s="63">
        <f t="shared" si="39"/>
        <v>40</v>
      </c>
    </row>
    <row r="839" spans="1:7" x14ac:dyDescent="0.4">
      <c r="A839" s="6" t="s">
        <v>1013</v>
      </c>
      <c r="B839" s="7">
        <v>69</v>
      </c>
      <c r="C839" s="6" t="s">
        <v>1796</v>
      </c>
      <c r="D839" s="73">
        <v>10</v>
      </c>
      <c r="E839" s="65">
        <f t="shared" si="38"/>
        <v>11.553398058252426</v>
      </c>
      <c r="F839" s="63">
        <f t="shared" si="39"/>
        <v>12</v>
      </c>
    </row>
    <row r="840" spans="1:7" x14ac:dyDescent="0.4">
      <c r="A840" s="9" t="s">
        <v>791</v>
      </c>
      <c r="B840" s="10">
        <v>125</v>
      </c>
      <c r="C840" s="9" t="s">
        <v>783</v>
      </c>
      <c r="D840" s="73">
        <v>25</v>
      </c>
      <c r="E840" s="65">
        <f t="shared" si="38"/>
        <v>28.883495145631066</v>
      </c>
      <c r="F840" s="63">
        <f t="shared" si="39"/>
        <v>29</v>
      </c>
    </row>
    <row r="841" spans="1:7" x14ac:dyDescent="0.4">
      <c r="A841" s="6" t="s">
        <v>940</v>
      </c>
      <c r="B841" s="8">
        <v>125</v>
      </c>
      <c r="C841" s="6"/>
      <c r="D841" s="73">
        <v>15</v>
      </c>
      <c r="E841" s="65">
        <f t="shared" si="38"/>
        <v>17.33009708737864</v>
      </c>
      <c r="F841" s="63">
        <f t="shared" si="39"/>
        <v>17</v>
      </c>
    </row>
    <row r="842" spans="1:7" x14ac:dyDescent="0.4">
      <c r="A842" s="6" t="s">
        <v>792</v>
      </c>
      <c r="B842" s="7">
        <v>123</v>
      </c>
      <c r="C842" s="6" t="s">
        <v>770</v>
      </c>
      <c r="D842" s="73">
        <v>7</v>
      </c>
      <c r="E842" s="65">
        <f t="shared" si="38"/>
        <v>8.0873786407766985</v>
      </c>
      <c r="F842" s="63">
        <f t="shared" si="39"/>
        <v>8</v>
      </c>
    </row>
    <row r="843" spans="1:7" x14ac:dyDescent="0.4">
      <c r="A843" s="6" t="s">
        <v>793</v>
      </c>
      <c r="B843" s="7">
        <v>125</v>
      </c>
      <c r="C843" s="6" t="s">
        <v>784</v>
      </c>
      <c r="D843" s="73">
        <v>5</v>
      </c>
      <c r="E843" s="65">
        <f t="shared" si="38"/>
        <v>5.7766990291262132</v>
      </c>
      <c r="F843" s="63">
        <f t="shared" si="39"/>
        <v>6</v>
      </c>
    </row>
    <row r="844" spans="1:7" x14ac:dyDescent="0.4">
      <c r="A844" s="6" t="s">
        <v>794</v>
      </c>
      <c r="B844" s="7">
        <v>125</v>
      </c>
      <c r="C844" s="6" t="s">
        <v>771</v>
      </c>
      <c r="D844" s="73">
        <v>6</v>
      </c>
      <c r="E844" s="65">
        <f t="shared" si="38"/>
        <v>6.9320388349514559</v>
      </c>
      <c r="F844" s="63">
        <f t="shared" si="39"/>
        <v>7</v>
      </c>
    </row>
    <row r="845" spans="1:7" x14ac:dyDescent="0.4">
      <c r="A845" s="6" t="s">
        <v>795</v>
      </c>
      <c r="B845" s="7">
        <v>123</v>
      </c>
      <c r="C845" s="6" t="s">
        <v>782</v>
      </c>
      <c r="D845" s="73">
        <v>10</v>
      </c>
      <c r="E845" s="65">
        <f t="shared" si="38"/>
        <v>11.553398058252426</v>
      </c>
      <c r="F845" s="63">
        <f t="shared" si="39"/>
        <v>12</v>
      </c>
    </row>
    <row r="846" spans="1:7" x14ac:dyDescent="0.4">
      <c r="A846" s="6" t="s">
        <v>355</v>
      </c>
      <c r="B846" s="8">
        <v>90</v>
      </c>
      <c r="C846" s="6"/>
      <c r="D846" s="73">
        <v>5</v>
      </c>
      <c r="E846" s="65">
        <f t="shared" si="38"/>
        <v>5.7766990291262132</v>
      </c>
      <c r="F846" s="63">
        <f t="shared" si="39"/>
        <v>6</v>
      </c>
    </row>
    <row r="847" spans="1:7" x14ac:dyDescent="0.4">
      <c r="A847" s="6" t="s">
        <v>613</v>
      </c>
      <c r="B847" s="8">
        <v>3</v>
      </c>
      <c r="C847" s="6"/>
      <c r="D847" s="73">
        <v>5</v>
      </c>
      <c r="E847" s="65">
        <f t="shared" si="38"/>
        <v>5.7766990291262132</v>
      </c>
      <c r="F847" s="63">
        <f t="shared" si="39"/>
        <v>6</v>
      </c>
    </row>
    <row r="848" spans="1:7" x14ac:dyDescent="0.4">
      <c r="A848" s="11" t="s">
        <v>660</v>
      </c>
      <c r="B848" s="8">
        <v>9</v>
      </c>
      <c r="C848" s="6"/>
      <c r="D848" s="73">
        <v>3</v>
      </c>
      <c r="E848" s="65">
        <f t="shared" si="38"/>
        <v>3.4660194174757279</v>
      </c>
      <c r="F848" s="63">
        <f t="shared" si="39"/>
        <v>3</v>
      </c>
    </row>
    <row r="849" spans="1:6" x14ac:dyDescent="0.4">
      <c r="A849" s="11" t="s">
        <v>657</v>
      </c>
      <c r="B849" s="8">
        <v>9</v>
      </c>
      <c r="C849" s="6"/>
      <c r="D849" s="73">
        <v>3</v>
      </c>
      <c r="E849" s="65">
        <f t="shared" si="38"/>
        <v>3.4660194174757279</v>
      </c>
      <c r="F849" s="63">
        <f t="shared" si="39"/>
        <v>3</v>
      </c>
    </row>
    <row r="850" spans="1:6" x14ac:dyDescent="0.4">
      <c r="A850" s="11" t="s">
        <v>655</v>
      </c>
      <c r="B850" s="8">
        <v>9</v>
      </c>
      <c r="C850" s="6"/>
      <c r="D850" s="73">
        <v>3</v>
      </c>
      <c r="E850" s="65">
        <f t="shared" si="38"/>
        <v>3.4660194174757279</v>
      </c>
      <c r="F850" s="63">
        <f t="shared" si="39"/>
        <v>3</v>
      </c>
    </row>
    <row r="851" spans="1:6" x14ac:dyDescent="0.4">
      <c r="A851" s="11" t="s">
        <v>663</v>
      </c>
      <c r="B851" s="8">
        <v>9</v>
      </c>
      <c r="C851" s="6"/>
      <c r="D851" s="73">
        <v>3</v>
      </c>
      <c r="E851" s="65">
        <f t="shared" si="38"/>
        <v>3.4660194174757279</v>
      </c>
      <c r="F851" s="63">
        <f t="shared" si="39"/>
        <v>3</v>
      </c>
    </row>
    <row r="852" spans="1:6" x14ac:dyDescent="0.4">
      <c r="A852" s="11" t="s">
        <v>661</v>
      </c>
      <c r="B852" s="8">
        <v>9</v>
      </c>
      <c r="C852" s="6"/>
      <c r="D852" s="73">
        <v>3</v>
      </c>
      <c r="E852" s="65">
        <f t="shared" si="38"/>
        <v>3.4660194174757279</v>
      </c>
      <c r="F852" s="63">
        <f t="shared" si="39"/>
        <v>3</v>
      </c>
    </row>
    <row r="853" spans="1:6" x14ac:dyDescent="0.4">
      <c r="A853" s="11" t="s">
        <v>658</v>
      </c>
      <c r="B853" s="8">
        <v>9</v>
      </c>
      <c r="C853" s="6"/>
      <c r="D853" s="73">
        <v>3</v>
      </c>
      <c r="E853" s="65">
        <f t="shared" si="38"/>
        <v>3.4660194174757279</v>
      </c>
      <c r="F853" s="63">
        <f t="shared" si="39"/>
        <v>3</v>
      </c>
    </row>
    <row r="854" spans="1:6" x14ac:dyDescent="0.4">
      <c r="A854" s="11" t="s">
        <v>662</v>
      </c>
      <c r="B854" s="8">
        <v>9</v>
      </c>
      <c r="C854" s="6"/>
      <c r="D854" s="73">
        <v>3</v>
      </c>
      <c r="E854" s="65">
        <f t="shared" si="38"/>
        <v>3.4660194174757279</v>
      </c>
      <c r="F854" s="63">
        <f t="shared" si="39"/>
        <v>3</v>
      </c>
    </row>
    <row r="855" spans="1:6" x14ac:dyDescent="0.4">
      <c r="A855" s="11" t="s">
        <v>659</v>
      </c>
      <c r="B855" s="8">
        <v>9</v>
      </c>
      <c r="C855" s="6"/>
      <c r="D855" s="73">
        <v>3</v>
      </c>
      <c r="E855" s="65">
        <f t="shared" si="38"/>
        <v>3.4660194174757279</v>
      </c>
      <c r="F855" s="63">
        <f t="shared" si="39"/>
        <v>3</v>
      </c>
    </row>
    <row r="856" spans="1:6" x14ac:dyDescent="0.4">
      <c r="A856" s="11" t="s">
        <v>656</v>
      </c>
      <c r="B856" s="8">
        <v>9</v>
      </c>
      <c r="C856" s="6"/>
      <c r="D856" s="73">
        <v>3</v>
      </c>
      <c r="E856" s="65">
        <f t="shared" si="38"/>
        <v>3.4660194174757279</v>
      </c>
      <c r="F856" s="63">
        <f t="shared" si="39"/>
        <v>3</v>
      </c>
    </row>
    <row r="857" spans="1:6" x14ac:dyDescent="0.4">
      <c r="A857" s="6" t="s">
        <v>609</v>
      </c>
      <c r="B857" s="8">
        <v>1</v>
      </c>
      <c r="C857" s="6"/>
      <c r="D857" s="73">
        <v>3</v>
      </c>
      <c r="E857" s="65">
        <f t="shared" si="38"/>
        <v>3.4660194174757279</v>
      </c>
      <c r="F857" s="63">
        <f t="shared" si="39"/>
        <v>3</v>
      </c>
    </row>
    <row r="858" spans="1:6" x14ac:dyDescent="0.4">
      <c r="A858" s="6" t="s">
        <v>607</v>
      </c>
      <c r="B858" s="8">
        <v>1</v>
      </c>
      <c r="C858" s="6"/>
      <c r="D858" s="73">
        <v>3</v>
      </c>
      <c r="E858" s="65">
        <f t="shared" si="38"/>
        <v>3.4660194174757279</v>
      </c>
      <c r="F858" s="63">
        <f t="shared" si="39"/>
        <v>3</v>
      </c>
    </row>
    <row r="859" spans="1:6" x14ac:dyDescent="0.4">
      <c r="A859" s="6" t="s">
        <v>608</v>
      </c>
      <c r="B859" s="8">
        <v>1</v>
      </c>
      <c r="C859" s="6"/>
      <c r="D859" s="73">
        <v>3</v>
      </c>
      <c r="E859" s="65">
        <f t="shared" si="38"/>
        <v>3.4660194174757279</v>
      </c>
      <c r="F859" s="63">
        <f t="shared" si="39"/>
        <v>3</v>
      </c>
    </row>
    <row r="860" spans="1:6" x14ac:dyDescent="0.4">
      <c r="A860" s="6" t="s">
        <v>606</v>
      </c>
      <c r="B860" s="8">
        <v>1</v>
      </c>
      <c r="C860" s="6"/>
      <c r="D860" s="73">
        <v>3</v>
      </c>
      <c r="E860" s="65">
        <f t="shared" si="38"/>
        <v>3.4660194174757279</v>
      </c>
      <c r="F860" s="63">
        <f t="shared" si="39"/>
        <v>3</v>
      </c>
    </row>
    <row r="861" spans="1:6" x14ac:dyDescent="0.4">
      <c r="A861" s="11" t="s">
        <v>645</v>
      </c>
      <c r="B861" s="8">
        <v>7</v>
      </c>
      <c r="C861" s="11" t="s">
        <v>628</v>
      </c>
      <c r="D861" s="73">
        <v>5</v>
      </c>
      <c r="E861" s="65">
        <f t="shared" si="38"/>
        <v>5.7766990291262132</v>
      </c>
      <c r="F861" s="63">
        <f t="shared" si="39"/>
        <v>6</v>
      </c>
    </row>
    <row r="862" spans="1:6" x14ac:dyDescent="0.4">
      <c r="A862" s="11" t="s">
        <v>647</v>
      </c>
      <c r="B862" s="8">
        <v>7</v>
      </c>
      <c r="C862" s="11" t="s">
        <v>635</v>
      </c>
      <c r="D862" s="73">
        <v>5</v>
      </c>
      <c r="E862" s="65">
        <f t="shared" si="38"/>
        <v>5.7766990291262132</v>
      </c>
      <c r="F862" s="63">
        <f t="shared" si="39"/>
        <v>6</v>
      </c>
    </row>
    <row r="863" spans="1:6" x14ac:dyDescent="0.4">
      <c r="A863" s="11" t="s">
        <v>650</v>
      </c>
      <c r="B863" s="8">
        <v>8</v>
      </c>
      <c r="C863" s="11" t="s">
        <v>641</v>
      </c>
      <c r="D863" s="73">
        <v>5</v>
      </c>
      <c r="E863" s="65">
        <f t="shared" si="38"/>
        <v>5.7766990291262132</v>
      </c>
      <c r="F863" s="63">
        <f t="shared" si="39"/>
        <v>6</v>
      </c>
    </row>
    <row r="864" spans="1:6" x14ac:dyDescent="0.4">
      <c r="A864" s="11" t="s">
        <v>653</v>
      </c>
      <c r="B864" s="8">
        <v>8</v>
      </c>
      <c r="C864" s="11" t="s">
        <v>654</v>
      </c>
      <c r="D864" s="73">
        <v>5</v>
      </c>
      <c r="E864" s="65">
        <f t="shared" si="38"/>
        <v>5.7766990291262132</v>
      </c>
      <c r="F864" s="63">
        <f t="shared" si="39"/>
        <v>6</v>
      </c>
    </row>
    <row r="865" spans="1:6" x14ac:dyDescent="0.4">
      <c r="A865" s="11" t="s">
        <v>648</v>
      </c>
      <c r="B865" s="8">
        <v>7</v>
      </c>
      <c r="C865" s="11" t="s">
        <v>637</v>
      </c>
      <c r="D865" s="73">
        <v>5</v>
      </c>
      <c r="E865" s="65">
        <f t="shared" ref="E865:E896" si="40">D865/10.3*G$2</f>
        <v>5.7766990291262132</v>
      </c>
      <c r="F865" s="63">
        <f t="shared" si="39"/>
        <v>6</v>
      </c>
    </row>
    <row r="866" spans="1:6" x14ac:dyDescent="0.4">
      <c r="A866" s="11" t="s">
        <v>644</v>
      </c>
      <c r="B866" s="8">
        <v>7</v>
      </c>
      <c r="C866" s="11" t="s">
        <v>627</v>
      </c>
      <c r="D866" s="73">
        <v>5</v>
      </c>
      <c r="E866" s="65">
        <f t="shared" si="40"/>
        <v>5.7766990291262132</v>
      </c>
      <c r="F866" s="63">
        <f t="shared" si="39"/>
        <v>6</v>
      </c>
    </row>
    <row r="867" spans="1:6" x14ac:dyDescent="0.4">
      <c r="A867" s="11" t="s">
        <v>646</v>
      </c>
      <c r="B867" s="8">
        <v>7</v>
      </c>
      <c r="C867" s="11" t="s">
        <v>633</v>
      </c>
      <c r="D867" s="73">
        <v>5</v>
      </c>
      <c r="E867" s="65">
        <f t="shared" si="40"/>
        <v>5.7766990291262132</v>
      </c>
      <c r="F867" s="63">
        <f t="shared" si="39"/>
        <v>6</v>
      </c>
    </row>
    <row r="868" spans="1:6" x14ac:dyDescent="0.4">
      <c r="A868" s="11" t="s">
        <v>649</v>
      </c>
      <c r="B868" s="8">
        <v>8</v>
      </c>
      <c r="C868" s="11" t="s">
        <v>639</v>
      </c>
      <c r="D868" s="73">
        <v>5</v>
      </c>
      <c r="E868" s="65">
        <f t="shared" si="40"/>
        <v>5.7766990291262132</v>
      </c>
      <c r="F868" s="63">
        <f t="shared" si="39"/>
        <v>6</v>
      </c>
    </row>
    <row r="869" spans="1:6" x14ac:dyDescent="0.4">
      <c r="A869" s="11" t="s">
        <v>651</v>
      </c>
      <c r="B869" s="8">
        <v>8</v>
      </c>
      <c r="C869" s="11" t="s">
        <v>652</v>
      </c>
      <c r="D869" s="73">
        <v>5</v>
      </c>
      <c r="E869" s="65">
        <f t="shared" si="40"/>
        <v>5.7766990291262132</v>
      </c>
      <c r="F869" s="63">
        <f t="shared" si="39"/>
        <v>6</v>
      </c>
    </row>
    <row r="870" spans="1:6" x14ac:dyDescent="0.4">
      <c r="A870" s="11" t="s">
        <v>624</v>
      </c>
      <c r="B870" s="7">
        <v>5</v>
      </c>
      <c r="C870" s="11" t="s">
        <v>625</v>
      </c>
      <c r="D870" s="73">
        <v>5</v>
      </c>
      <c r="E870" s="65">
        <f t="shared" si="40"/>
        <v>5.7766990291262132</v>
      </c>
      <c r="F870" s="63">
        <f t="shared" si="39"/>
        <v>6</v>
      </c>
    </row>
    <row r="871" spans="1:6" x14ac:dyDescent="0.4">
      <c r="A871" s="11" t="s">
        <v>631</v>
      </c>
      <c r="B871" s="7">
        <v>5</v>
      </c>
      <c r="C871" s="11" t="s">
        <v>628</v>
      </c>
      <c r="D871" s="73">
        <v>5</v>
      </c>
      <c r="E871" s="65">
        <f t="shared" si="40"/>
        <v>5.7766990291262132</v>
      </c>
      <c r="F871" s="63">
        <f t="shared" si="39"/>
        <v>6</v>
      </c>
    </row>
    <row r="872" spans="1:6" x14ac:dyDescent="0.4">
      <c r="A872" s="11" t="s">
        <v>634</v>
      </c>
      <c r="B872" s="8">
        <v>6</v>
      </c>
      <c r="C872" s="11" t="s">
        <v>635</v>
      </c>
      <c r="D872" s="73">
        <v>5</v>
      </c>
      <c r="E872" s="65">
        <f t="shared" si="40"/>
        <v>5.7766990291262132</v>
      </c>
      <c r="F872" s="63">
        <f t="shared" si="39"/>
        <v>6</v>
      </c>
    </row>
    <row r="873" spans="1:6" x14ac:dyDescent="0.4">
      <c r="A873" s="11" t="s">
        <v>640</v>
      </c>
      <c r="B873" s="8">
        <v>6</v>
      </c>
      <c r="C873" s="11" t="s">
        <v>641</v>
      </c>
      <c r="D873" s="73">
        <v>5</v>
      </c>
      <c r="E873" s="65">
        <f t="shared" si="40"/>
        <v>5.7766990291262132</v>
      </c>
      <c r="F873" s="63">
        <f t="shared" si="39"/>
        <v>6</v>
      </c>
    </row>
    <row r="874" spans="1:6" x14ac:dyDescent="0.4">
      <c r="A874" s="11" t="s">
        <v>629</v>
      </c>
      <c r="B874" s="7">
        <v>5</v>
      </c>
      <c r="C874" s="11" t="s">
        <v>630</v>
      </c>
      <c r="D874" s="73">
        <v>5</v>
      </c>
      <c r="E874" s="65">
        <f t="shared" si="40"/>
        <v>5.7766990291262132</v>
      </c>
      <c r="F874" s="63">
        <f t="shared" si="39"/>
        <v>6</v>
      </c>
    </row>
    <row r="875" spans="1:6" x14ac:dyDescent="0.4">
      <c r="A875" s="11" t="s">
        <v>636</v>
      </c>
      <c r="B875" s="8">
        <v>6</v>
      </c>
      <c r="C875" s="11" t="s">
        <v>637</v>
      </c>
      <c r="D875" s="73">
        <v>5</v>
      </c>
      <c r="E875" s="65">
        <f t="shared" si="40"/>
        <v>5.7766990291262132</v>
      </c>
      <c r="F875" s="63">
        <f t="shared" si="39"/>
        <v>6</v>
      </c>
    </row>
    <row r="876" spans="1:6" x14ac:dyDescent="0.4">
      <c r="A876" s="11" t="s">
        <v>642</v>
      </c>
      <c r="B876" s="8">
        <v>6</v>
      </c>
      <c r="C876" s="11" t="s">
        <v>643</v>
      </c>
      <c r="D876" s="73">
        <v>5</v>
      </c>
      <c r="E876" s="65">
        <f t="shared" si="40"/>
        <v>5.7766990291262132</v>
      </c>
      <c r="F876" s="63">
        <f t="shared" si="39"/>
        <v>6</v>
      </c>
    </row>
    <row r="877" spans="1:6" x14ac:dyDescent="0.4">
      <c r="A877" s="11" t="s">
        <v>626</v>
      </c>
      <c r="B877" s="7">
        <v>5</v>
      </c>
      <c r="C877" s="11" t="s">
        <v>627</v>
      </c>
      <c r="D877" s="73">
        <v>5</v>
      </c>
      <c r="E877" s="65">
        <f t="shared" si="40"/>
        <v>5.7766990291262132</v>
      </c>
      <c r="F877" s="63">
        <f t="shared" si="39"/>
        <v>6</v>
      </c>
    </row>
    <row r="878" spans="1:6" x14ac:dyDescent="0.4">
      <c r="A878" s="11" t="s">
        <v>632</v>
      </c>
      <c r="B878" s="7">
        <v>5</v>
      </c>
      <c r="C878" s="11" t="s">
        <v>633</v>
      </c>
      <c r="D878" s="73">
        <v>5</v>
      </c>
      <c r="E878" s="65">
        <f t="shared" si="40"/>
        <v>5.7766990291262132</v>
      </c>
      <c r="F878" s="63">
        <f t="shared" si="39"/>
        <v>6</v>
      </c>
    </row>
    <row r="879" spans="1:6" x14ac:dyDescent="0.4">
      <c r="A879" s="11" t="s">
        <v>638</v>
      </c>
      <c r="B879" s="8">
        <v>6</v>
      </c>
      <c r="C879" s="11" t="s">
        <v>639</v>
      </c>
      <c r="D879" s="73">
        <v>5</v>
      </c>
      <c r="E879" s="65">
        <f t="shared" si="40"/>
        <v>5.7766990291262132</v>
      </c>
      <c r="F879" s="63">
        <f t="shared" si="39"/>
        <v>6</v>
      </c>
    </row>
    <row r="880" spans="1:6" x14ac:dyDescent="0.4">
      <c r="A880" s="6" t="s">
        <v>364</v>
      </c>
      <c r="B880" s="8">
        <v>92</v>
      </c>
      <c r="C880" s="6"/>
      <c r="D880" s="73">
        <v>8</v>
      </c>
      <c r="E880" s="65">
        <f t="shared" si="40"/>
        <v>9.2427184466019412</v>
      </c>
      <c r="F880" s="63">
        <f t="shared" si="39"/>
        <v>9</v>
      </c>
    </row>
    <row r="881" spans="1:6" x14ac:dyDescent="0.4">
      <c r="A881" s="6" t="s">
        <v>599</v>
      </c>
      <c r="B881" s="7">
        <v>143</v>
      </c>
      <c r="C881" s="6"/>
      <c r="D881" s="73">
        <v>8</v>
      </c>
      <c r="E881" s="65">
        <f t="shared" si="40"/>
        <v>9.2427184466019412</v>
      </c>
      <c r="F881" s="63">
        <f t="shared" si="39"/>
        <v>9</v>
      </c>
    </row>
    <row r="882" spans="1:6" x14ac:dyDescent="0.4">
      <c r="A882" s="6" t="s">
        <v>600</v>
      </c>
      <c r="B882" s="7">
        <v>143</v>
      </c>
      <c r="C882" s="6"/>
      <c r="D882" s="73">
        <v>8</v>
      </c>
      <c r="E882" s="65">
        <f t="shared" si="40"/>
        <v>9.2427184466019412</v>
      </c>
      <c r="F882" s="63">
        <f t="shared" si="39"/>
        <v>9</v>
      </c>
    </row>
    <row r="883" spans="1:6" x14ac:dyDescent="0.4">
      <c r="A883" s="6" t="s">
        <v>598</v>
      </c>
      <c r="B883" s="7">
        <v>143</v>
      </c>
      <c r="C883" s="6"/>
      <c r="D883" s="73">
        <v>7</v>
      </c>
      <c r="E883" s="65">
        <f t="shared" si="40"/>
        <v>8.0873786407766985</v>
      </c>
      <c r="F883" s="63">
        <f t="shared" si="39"/>
        <v>8</v>
      </c>
    </row>
    <row r="884" spans="1:6" x14ac:dyDescent="0.4">
      <c r="A884" s="6" t="s">
        <v>250</v>
      </c>
      <c r="B884" s="8">
        <v>60</v>
      </c>
      <c r="C884" s="6"/>
      <c r="D884" s="73">
        <v>5</v>
      </c>
      <c r="E884" s="65">
        <f t="shared" si="40"/>
        <v>5.7766990291262132</v>
      </c>
      <c r="F884" s="63">
        <f t="shared" si="39"/>
        <v>6</v>
      </c>
    </row>
    <row r="885" spans="1:6" x14ac:dyDescent="0.4">
      <c r="A885" s="6" t="s">
        <v>253</v>
      </c>
      <c r="B885" s="8">
        <v>60</v>
      </c>
      <c r="C885" s="6"/>
      <c r="D885" s="73">
        <v>5</v>
      </c>
      <c r="E885" s="65">
        <f t="shared" si="40"/>
        <v>5.7766990291262132</v>
      </c>
      <c r="F885" s="63">
        <f t="shared" si="39"/>
        <v>6</v>
      </c>
    </row>
    <row r="886" spans="1:6" x14ac:dyDescent="0.4">
      <c r="A886" s="6" t="s">
        <v>1069</v>
      </c>
      <c r="B886" s="7">
        <v>60</v>
      </c>
      <c r="C886" s="6"/>
      <c r="D886" s="73">
        <v>5</v>
      </c>
      <c r="E886" s="65">
        <f t="shared" si="40"/>
        <v>5.7766990291262132</v>
      </c>
      <c r="F886" s="63">
        <f t="shared" si="39"/>
        <v>6</v>
      </c>
    </row>
    <row r="887" spans="1:6" x14ac:dyDescent="0.4">
      <c r="A887" s="6" t="s">
        <v>254</v>
      </c>
      <c r="B887" s="8">
        <v>60</v>
      </c>
      <c r="C887" s="6"/>
      <c r="D887" s="73">
        <v>5</v>
      </c>
      <c r="E887" s="65">
        <f t="shared" si="40"/>
        <v>5.7766990291262132</v>
      </c>
      <c r="F887" s="63">
        <f t="shared" si="39"/>
        <v>6</v>
      </c>
    </row>
    <row r="888" spans="1:6" x14ac:dyDescent="0.4">
      <c r="A888" s="6" t="s">
        <v>325</v>
      </c>
      <c r="B888" s="8">
        <v>80</v>
      </c>
      <c r="C888" s="6"/>
      <c r="D888" s="73">
        <v>7</v>
      </c>
      <c r="E888" s="65">
        <f t="shared" si="40"/>
        <v>8.0873786407766985</v>
      </c>
      <c r="F888" s="63">
        <f t="shared" si="39"/>
        <v>8</v>
      </c>
    </row>
    <row r="889" spans="1:6" x14ac:dyDescent="0.4">
      <c r="A889" s="6" t="s">
        <v>272</v>
      </c>
      <c r="B889" s="8">
        <v>64</v>
      </c>
      <c r="C889" s="6"/>
      <c r="D889" s="73">
        <v>7</v>
      </c>
      <c r="E889" s="65">
        <f t="shared" si="40"/>
        <v>8.0873786407766985</v>
      </c>
      <c r="F889" s="63">
        <f t="shared" si="39"/>
        <v>8</v>
      </c>
    </row>
    <row r="890" spans="1:6" x14ac:dyDescent="0.4">
      <c r="A890" s="6" t="s">
        <v>273</v>
      </c>
      <c r="B890" s="8">
        <v>64</v>
      </c>
      <c r="C890" s="6"/>
      <c r="D890" s="73">
        <v>7</v>
      </c>
      <c r="E890" s="65">
        <f t="shared" si="40"/>
        <v>8.0873786407766985</v>
      </c>
      <c r="F890" s="63">
        <f t="shared" si="39"/>
        <v>8</v>
      </c>
    </row>
    <row r="891" spans="1:6" x14ac:dyDescent="0.4">
      <c r="A891" s="6" t="s">
        <v>310</v>
      </c>
      <c r="B891" s="8">
        <v>77</v>
      </c>
      <c r="C891" s="6"/>
      <c r="D891" s="73">
        <v>8</v>
      </c>
      <c r="E891" s="65">
        <f t="shared" si="40"/>
        <v>9.2427184466019412</v>
      </c>
      <c r="F891" s="63">
        <f t="shared" si="39"/>
        <v>9</v>
      </c>
    </row>
    <row r="892" spans="1:6" x14ac:dyDescent="0.4">
      <c r="A892" s="6" t="s">
        <v>312</v>
      </c>
      <c r="B892" s="8">
        <v>77</v>
      </c>
      <c r="C892" s="6"/>
      <c r="D892" s="73">
        <v>5</v>
      </c>
      <c r="E892" s="65">
        <f t="shared" si="40"/>
        <v>5.7766990291262132</v>
      </c>
      <c r="F892" s="63">
        <f t="shared" si="39"/>
        <v>6</v>
      </c>
    </row>
    <row r="893" spans="1:6" x14ac:dyDescent="0.4">
      <c r="A893" s="6" t="s">
        <v>317</v>
      </c>
      <c r="B893" s="8">
        <v>78</v>
      </c>
      <c r="C893" s="6"/>
      <c r="D893" s="73">
        <v>8</v>
      </c>
      <c r="E893" s="65">
        <f t="shared" si="40"/>
        <v>9.2427184466019412</v>
      </c>
      <c r="F893" s="63">
        <f t="shared" si="39"/>
        <v>9</v>
      </c>
    </row>
    <row r="894" spans="1:6" x14ac:dyDescent="0.4">
      <c r="A894" s="6" t="s">
        <v>260</v>
      </c>
      <c r="B894" s="8">
        <v>62</v>
      </c>
      <c r="C894" s="6"/>
      <c r="D894" s="73">
        <v>5</v>
      </c>
      <c r="E894" s="65">
        <f t="shared" si="40"/>
        <v>5.7766990291262132</v>
      </c>
      <c r="F894" s="63">
        <f t="shared" si="39"/>
        <v>6</v>
      </c>
    </row>
    <row r="895" spans="1:6" x14ac:dyDescent="0.4">
      <c r="A895" s="6" t="s">
        <v>261</v>
      </c>
      <c r="B895" s="8">
        <v>62</v>
      </c>
      <c r="C895" s="6"/>
      <c r="D895" s="73">
        <v>9</v>
      </c>
      <c r="E895" s="65">
        <f t="shared" si="40"/>
        <v>10.398058252427184</v>
      </c>
      <c r="F895" s="63">
        <f t="shared" si="39"/>
        <v>10</v>
      </c>
    </row>
    <row r="896" spans="1:6" x14ac:dyDescent="0.4">
      <c r="A896" s="6" t="s">
        <v>262</v>
      </c>
      <c r="B896" s="8">
        <v>62</v>
      </c>
      <c r="C896" s="6"/>
      <c r="D896" s="73">
        <v>7</v>
      </c>
      <c r="E896" s="65">
        <f t="shared" si="40"/>
        <v>8.0873786407766985</v>
      </c>
      <c r="F896" s="63">
        <f t="shared" si="39"/>
        <v>8</v>
      </c>
    </row>
    <row r="897" spans="1:6" x14ac:dyDescent="0.4">
      <c r="A897" s="6" t="s">
        <v>267</v>
      </c>
      <c r="B897" s="8">
        <v>63</v>
      </c>
      <c r="C897" s="6"/>
      <c r="D897" s="73">
        <v>17</v>
      </c>
      <c r="E897" s="65">
        <f t="shared" ref="E897:E928" si="41">D897/10.3*G$2</f>
        <v>19.640776699029125</v>
      </c>
      <c r="F897" s="63">
        <f t="shared" si="39"/>
        <v>20</v>
      </c>
    </row>
    <row r="898" spans="1:6" x14ac:dyDescent="0.4">
      <c r="A898" s="6" t="s">
        <v>1119</v>
      </c>
      <c r="B898" s="8">
        <v>63</v>
      </c>
      <c r="C898" s="6"/>
      <c r="D898" s="73">
        <v>12</v>
      </c>
      <c r="E898" s="65">
        <f t="shared" si="41"/>
        <v>13.864077669902912</v>
      </c>
      <c r="F898" s="63">
        <f t="shared" si="39"/>
        <v>14</v>
      </c>
    </row>
    <row r="899" spans="1:6" x14ac:dyDescent="0.4">
      <c r="A899" s="6" t="s">
        <v>269</v>
      </c>
      <c r="B899" s="8">
        <v>63</v>
      </c>
      <c r="C899" s="6"/>
      <c r="D899" s="73">
        <v>5</v>
      </c>
      <c r="E899" s="65">
        <f t="shared" si="41"/>
        <v>5.7766990291262132</v>
      </c>
      <c r="F899" s="63">
        <f t="shared" ref="F899:F953" si="42">ROUND(E899,0)</f>
        <v>6</v>
      </c>
    </row>
    <row r="900" spans="1:6" x14ac:dyDescent="0.4">
      <c r="A900" s="6" t="s">
        <v>271</v>
      </c>
      <c r="B900" s="8">
        <v>64</v>
      </c>
      <c r="C900" s="6"/>
      <c r="D900" s="73">
        <v>8</v>
      </c>
      <c r="E900" s="65">
        <f t="shared" si="41"/>
        <v>9.2427184466019412</v>
      </c>
      <c r="F900" s="63">
        <f t="shared" si="42"/>
        <v>9</v>
      </c>
    </row>
    <row r="901" spans="1:6" x14ac:dyDescent="0.4">
      <c r="A901" s="6" t="s">
        <v>323</v>
      </c>
      <c r="B901" s="8">
        <v>80</v>
      </c>
      <c r="C901" s="6"/>
      <c r="D901" s="73">
        <v>7</v>
      </c>
      <c r="E901" s="65">
        <f t="shared" si="41"/>
        <v>8.0873786407766985</v>
      </c>
      <c r="F901" s="63">
        <f t="shared" si="42"/>
        <v>8</v>
      </c>
    </row>
    <row r="902" spans="1:6" x14ac:dyDescent="0.4">
      <c r="A902" s="6" t="s">
        <v>257</v>
      </c>
      <c r="B902" s="8">
        <v>61</v>
      </c>
      <c r="C902" s="6"/>
      <c r="D902" s="73">
        <v>5</v>
      </c>
      <c r="E902" s="65">
        <f t="shared" si="41"/>
        <v>5.7766990291262132</v>
      </c>
      <c r="F902" s="63">
        <f t="shared" si="42"/>
        <v>6</v>
      </c>
    </row>
    <row r="903" spans="1:6" x14ac:dyDescent="0.4">
      <c r="A903" s="6" t="s">
        <v>324</v>
      </c>
      <c r="B903" s="8">
        <v>80</v>
      </c>
      <c r="C903" s="6"/>
      <c r="D903" s="73">
        <v>7</v>
      </c>
      <c r="E903" s="65">
        <f t="shared" si="41"/>
        <v>8.0873786407766985</v>
      </c>
      <c r="F903" s="63">
        <f t="shared" si="42"/>
        <v>8</v>
      </c>
    </row>
    <row r="904" spans="1:6" x14ac:dyDescent="0.4">
      <c r="A904" s="6" t="s">
        <v>251</v>
      </c>
      <c r="B904" s="8">
        <v>60</v>
      </c>
      <c r="C904" s="6"/>
      <c r="D904" s="73">
        <v>4</v>
      </c>
      <c r="E904" s="65">
        <f t="shared" si="41"/>
        <v>4.6213592233009706</v>
      </c>
      <c r="F904" s="63">
        <f t="shared" si="42"/>
        <v>5</v>
      </c>
    </row>
    <row r="905" spans="1:6" x14ac:dyDescent="0.4">
      <c r="A905" s="6" t="s">
        <v>252</v>
      </c>
      <c r="B905" s="8">
        <v>60</v>
      </c>
      <c r="C905" s="6"/>
      <c r="D905" s="73">
        <v>4</v>
      </c>
      <c r="E905" s="65">
        <f t="shared" si="41"/>
        <v>4.6213592233009706</v>
      </c>
      <c r="F905" s="63">
        <f t="shared" si="42"/>
        <v>5</v>
      </c>
    </row>
    <row r="906" spans="1:6" x14ac:dyDescent="0.4">
      <c r="A906" s="6" t="s">
        <v>255</v>
      </c>
      <c r="B906" s="8">
        <v>61</v>
      </c>
      <c r="C906" s="6"/>
      <c r="D906" s="73">
        <v>5</v>
      </c>
      <c r="E906" s="65">
        <f t="shared" si="41"/>
        <v>5.7766990291262132</v>
      </c>
      <c r="F906" s="63">
        <f t="shared" si="42"/>
        <v>6</v>
      </c>
    </row>
    <row r="907" spans="1:6" x14ac:dyDescent="0.4">
      <c r="A907" s="11" t="s">
        <v>1630</v>
      </c>
      <c r="B907" s="7">
        <v>64</v>
      </c>
      <c r="C907" s="11"/>
      <c r="D907" s="73">
        <v>7</v>
      </c>
      <c r="E907" s="65">
        <f t="shared" si="41"/>
        <v>8.0873786407766985</v>
      </c>
      <c r="F907" s="63">
        <f t="shared" si="42"/>
        <v>8</v>
      </c>
    </row>
    <row r="908" spans="1:6" x14ac:dyDescent="0.4">
      <c r="A908" s="6" t="s">
        <v>256</v>
      </c>
      <c r="B908" s="8">
        <v>61</v>
      </c>
      <c r="C908" s="6"/>
      <c r="D908" s="73">
        <v>7</v>
      </c>
      <c r="E908" s="65">
        <f t="shared" si="41"/>
        <v>8.0873786407766985</v>
      </c>
      <c r="F908" s="63">
        <f t="shared" si="42"/>
        <v>8</v>
      </c>
    </row>
    <row r="909" spans="1:6" x14ac:dyDescent="0.4">
      <c r="A909" s="6" t="s">
        <v>308</v>
      </c>
      <c r="B909" s="8">
        <v>77</v>
      </c>
      <c r="C909" s="6"/>
      <c r="D909" s="73">
        <v>8</v>
      </c>
      <c r="E909" s="65">
        <f t="shared" si="41"/>
        <v>9.2427184466019412</v>
      </c>
      <c r="F909" s="63">
        <f t="shared" si="42"/>
        <v>9</v>
      </c>
    </row>
    <row r="910" spans="1:6" x14ac:dyDescent="0.4">
      <c r="A910" s="6" t="s">
        <v>309</v>
      </c>
      <c r="B910" s="8">
        <v>77</v>
      </c>
      <c r="C910" s="6"/>
      <c r="D910" s="73">
        <v>7</v>
      </c>
      <c r="E910" s="65">
        <f t="shared" si="41"/>
        <v>8.0873786407766985</v>
      </c>
      <c r="F910" s="63">
        <f t="shared" si="42"/>
        <v>8</v>
      </c>
    </row>
    <row r="911" spans="1:6" x14ac:dyDescent="0.4">
      <c r="A911" s="6" t="s">
        <v>311</v>
      </c>
      <c r="B911" s="8">
        <v>77</v>
      </c>
      <c r="C911" s="6"/>
      <c r="D911" s="73">
        <v>8</v>
      </c>
      <c r="E911" s="65">
        <f t="shared" si="41"/>
        <v>9.2427184466019412</v>
      </c>
      <c r="F911" s="63">
        <f t="shared" si="42"/>
        <v>9</v>
      </c>
    </row>
    <row r="912" spans="1:6" x14ac:dyDescent="0.4">
      <c r="A912" s="6" t="s">
        <v>313</v>
      </c>
      <c r="B912" s="8">
        <v>78</v>
      </c>
      <c r="C912" s="6"/>
      <c r="D912" s="73">
        <v>15</v>
      </c>
      <c r="E912" s="65">
        <f t="shared" si="41"/>
        <v>17.33009708737864</v>
      </c>
      <c r="F912" s="63">
        <f t="shared" si="42"/>
        <v>17</v>
      </c>
    </row>
    <row r="913" spans="1:6" x14ac:dyDescent="0.4">
      <c r="A913" s="6" t="s">
        <v>314</v>
      </c>
      <c r="B913" s="8">
        <v>78</v>
      </c>
      <c r="C913" s="6"/>
      <c r="D913" s="73">
        <v>7</v>
      </c>
      <c r="E913" s="65">
        <f t="shared" si="41"/>
        <v>8.0873786407766985</v>
      </c>
      <c r="F913" s="63">
        <f t="shared" si="42"/>
        <v>8</v>
      </c>
    </row>
    <row r="914" spans="1:6" x14ac:dyDescent="0.4">
      <c r="A914" s="6" t="s">
        <v>315</v>
      </c>
      <c r="B914" s="8">
        <v>78</v>
      </c>
      <c r="C914" s="6"/>
      <c r="D914" s="73">
        <v>7</v>
      </c>
      <c r="E914" s="65">
        <f t="shared" si="41"/>
        <v>8.0873786407766985</v>
      </c>
      <c r="F914" s="63">
        <f t="shared" si="42"/>
        <v>8</v>
      </c>
    </row>
    <row r="915" spans="1:6" x14ac:dyDescent="0.4">
      <c r="A915" s="6" t="s">
        <v>316</v>
      </c>
      <c r="B915" s="8">
        <v>78</v>
      </c>
      <c r="C915" s="6"/>
      <c r="D915" s="73">
        <v>12</v>
      </c>
      <c r="E915" s="65">
        <f t="shared" si="41"/>
        <v>13.864077669902912</v>
      </c>
      <c r="F915" s="63">
        <f t="shared" si="42"/>
        <v>14</v>
      </c>
    </row>
    <row r="916" spans="1:6" x14ac:dyDescent="0.4">
      <c r="A916" s="6" t="s">
        <v>318</v>
      </c>
      <c r="B916" s="8">
        <v>79</v>
      </c>
      <c r="C916" s="6"/>
      <c r="D916" s="73">
        <v>7</v>
      </c>
      <c r="E916" s="65">
        <f t="shared" si="41"/>
        <v>8.0873786407766985</v>
      </c>
      <c r="F916" s="63">
        <f t="shared" si="42"/>
        <v>8</v>
      </c>
    </row>
    <row r="917" spans="1:6" x14ac:dyDescent="0.4">
      <c r="A917" s="6" t="s">
        <v>258</v>
      </c>
      <c r="B917" s="8">
        <v>61</v>
      </c>
      <c r="C917" s="6"/>
      <c r="D917" s="73">
        <v>5</v>
      </c>
      <c r="E917" s="65">
        <f t="shared" si="41"/>
        <v>5.7766990291262132</v>
      </c>
      <c r="F917" s="63">
        <f t="shared" si="42"/>
        <v>6</v>
      </c>
    </row>
    <row r="918" spans="1:6" x14ac:dyDescent="0.4">
      <c r="A918" s="6" t="s">
        <v>319</v>
      </c>
      <c r="B918" s="8">
        <v>79</v>
      </c>
      <c r="C918" s="6"/>
      <c r="D918" s="73">
        <v>7</v>
      </c>
      <c r="E918" s="65">
        <f t="shared" si="41"/>
        <v>8.0873786407766985</v>
      </c>
      <c r="F918" s="63">
        <f t="shared" si="42"/>
        <v>8</v>
      </c>
    </row>
    <row r="919" spans="1:6" x14ac:dyDescent="0.4">
      <c r="A919" s="6" t="s">
        <v>1125</v>
      </c>
      <c r="B919" s="7">
        <v>80</v>
      </c>
      <c r="C919" s="6"/>
      <c r="D919" s="73">
        <v>7</v>
      </c>
      <c r="E919" s="65">
        <f t="shared" si="41"/>
        <v>8.0873786407766985</v>
      </c>
      <c r="F919" s="63">
        <f t="shared" si="42"/>
        <v>8</v>
      </c>
    </row>
    <row r="920" spans="1:6" x14ac:dyDescent="0.4">
      <c r="A920" s="6" t="s">
        <v>320</v>
      </c>
      <c r="B920" s="8">
        <v>79</v>
      </c>
      <c r="C920" s="6"/>
      <c r="D920" s="73">
        <v>5</v>
      </c>
      <c r="E920" s="65">
        <f t="shared" si="41"/>
        <v>5.7766990291262132</v>
      </c>
      <c r="F920" s="63">
        <f t="shared" si="42"/>
        <v>6</v>
      </c>
    </row>
    <row r="921" spans="1:6" x14ac:dyDescent="0.4">
      <c r="A921" s="6" t="s">
        <v>1126</v>
      </c>
      <c r="B921" s="7">
        <v>80</v>
      </c>
      <c r="C921" s="6"/>
      <c r="D921" s="73">
        <v>15</v>
      </c>
      <c r="E921" s="65">
        <f t="shared" si="41"/>
        <v>17.33009708737864</v>
      </c>
      <c r="F921" s="63">
        <f t="shared" si="42"/>
        <v>17</v>
      </c>
    </row>
    <row r="922" spans="1:6" x14ac:dyDescent="0.4">
      <c r="A922" s="6" t="s">
        <v>259</v>
      </c>
      <c r="B922" s="8">
        <v>61</v>
      </c>
      <c r="C922" s="6"/>
      <c r="D922" s="73">
        <v>5</v>
      </c>
      <c r="E922" s="65">
        <f t="shared" si="41"/>
        <v>5.7766990291262132</v>
      </c>
      <c r="F922" s="63">
        <f t="shared" si="42"/>
        <v>6</v>
      </c>
    </row>
    <row r="923" spans="1:6" x14ac:dyDescent="0.4">
      <c r="A923" s="6" t="s">
        <v>321</v>
      </c>
      <c r="B923" s="8">
        <v>79</v>
      </c>
      <c r="C923" s="6"/>
      <c r="D923" s="73">
        <v>12</v>
      </c>
      <c r="E923" s="65">
        <f t="shared" si="41"/>
        <v>13.864077669902912</v>
      </c>
      <c r="F923" s="63">
        <f t="shared" si="42"/>
        <v>14</v>
      </c>
    </row>
    <row r="924" spans="1:6" x14ac:dyDescent="0.4">
      <c r="A924" s="6" t="s">
        <v>322</v>
      </c>
      <c r="B924" s="8">
        <v>79</v>
      </c>
      <c r="C924" s="6"/>
      <c r="D924" s="73">
        <v>8</v>
      </c>
      <c r="E924" s="65">
        <f t="shared" si="41"/>
        <v>9.2427184466019412</v>
      </c>
      <c r="F924" s="63">
        <f t="shared" si="42"/>
        <v>9</v>
      </c>
    </row>
    <row r="925" spans="1:6" x14ac:dyDescent="0.4">
      <c r="A925" s="6" t="s">
        <v>1137</v>
      </c>
      <c r="B925" s="7">
        <v>80</v>
      </c>
      <c r="C925" s="6"/>
      <c r="D925" s="73">
        <v>10</v>
      </c>
      <c r="E925" s="65">
        <f t="shared" si="41"/>
        <v>11.553398058252426</v>
      </c>
      <c r="F925" s="63">
        <f t="shared" si="42"/>
        <v>12</v>
      </c>
    </row>
    <row r="926" spans="1:6" x14ac:dyDescent="0.4">
      <c r="A926" s="6" t="s">
        <v>263</v>
      </c>
      <c r="B926" s="8">
        <v>62</v>
      </c>
      <c r="C926" s="6"/>
      <c r="D926" s="73">
        <v>7</v>
      </c>
      <c r="E926" s="65">
        <f t="shared" si="41"/>
        <v>8.0873786407766985</v>
      </c>
      <c r="F926" s="63">
        <f t="shared" si="42"/>
        <v>8</v>
      </c>
    </row>
    <row r="927" spans="1:6" x14ac:dyDescent="0.4">
      <c r="A927" s="6" t="s">
        <v>264</v>
      </c>
      <c r="B927" s="8">
        <v>62</v>
      </c>
      <c r="C927" s="6"/>
      <c r="D927" s="73">
        <v>7</v>
      </c>
      <c r="E927" s="65">
        <f t="shared" si="41"/>
        <v>8.0873786407766985</v>
      </c>
      <c r="F927" s="63">
        <f t="shared" si="42"/>
        <v>8</v>
      </c>
    </row>
    <row r="928" spans="1:6" x14ac:dyDescent="0.4">
      <c r="A928" s="6" t="s">
        <v>266</v>
      </c>
      <c r="B928" s="8">
        <v>63</v>
      </c>
      <c r="C928" s="6"/>
      <c r="D928" s="73">
        <v>7</v>
      </c>
      <c r="E928" s="65">
        <f t="shared" si="41"/>
        <v>8.0873786407766985</v>
      </c>
      <c r="F928" s="63">
        <f t="shared" si="42"/>
        <v>8</v>
      </c>
    </row>
    <row r="929" spans="1:6" x14ac:dyDescent="0.4">
      <c r="A929" s="6" t="s">
        <v>265</v>
      </c>
      <c r="B929" s="8">
        <v>63</v>
      </c>
      <c r="C929" s="6"/>
      <c r="D929" s="73">
        <v>7</v>
      </c>
      <c r="E929" s="65">
        <f t="shared" ref="E929:E953" si="43">D929/10.3*G$2</f>
        <v>8.0873786407766985</v>
      </c>
      <c r="F929" s="63">
        <f t="shared" si="42"/>
        <v>8</v>
      </c>
    </row>
    <row r="930" spans="1:6" x14ac:dyDescent="0.4">
      <c r="A930" s="6" t="s">
        <v>268</v>
      </c>
      <c r="B930" s="8">
        <v>63</v>
      </c>
      <c r="C930" s="6"/>
      <c r="D930" s="73">
        <v>7</v>
      </c>
      <c r="E930" s="65">
        <f t="shared" si="43"/>
        <v>8.0873786407766985</v>
      </c>
      <c r="F930" s="63">
        <f t="shared" si="42"/>
        <v>8</v>
      </c>
    </row>
    <row r="931" spans="1:6" x14ac:dyDescent="0.4">
      <c r="A931" s="6" t="s">
        <v>270</v>
      </c>
      <c r="B931" s="8">
        <v>64</v>
      </c>
      <c r="C931" s="6"/>
      <c r="D931" s="73">
        <v>8</v>
      </c>
      <c r="E931" s="65">
        <f t="shared" si="43"/>
        <v>9.2427184466019412</v>
      </c>
      <c r="F931" s="63">
        <f t="shared" si="42"/>
        <v>9</v>
      </c>
    </row>
    <row r="932" spans="1:6" x14ac:dyDescent="0.4">
      <c r="A932" s="6" t="s">
        <v>447</v>
      </c>
      <c r="B932" s="7">
        <v>109</v>
      </c>
      <c r="C932" s="6"/>
      <c r="D932" s="73">
        <v>4.5</v>
      </c>
      <c r="E932" s="65">
        <f t="shared" si="43"/>
        <v>5.1990291262135919</v>
      </c>
      <c r="F932" s="63">
        <f t="shared" si="42"/>
        <v>5</v>
      </c>
    </row>
    <row r="933" spans="1:6" x14ac:dyDescent="0.4">
      <c r="A933" s="6" t="s">
        <v>62</v>
      </c>
      <c r="B933" s="8">
        <v>24</v>
      </c>
      <c r="C933" s="6"/>
      <c r="D933" s="73">
        <v>4.5</v>
      </c>
      <c r="E933" s="65">
        <f t="shared" si="43"/>
        <v>5.1990291262135919</v>
      </c>
      <c r="F933" s="63">
        <f t="shared" si="42"/>
        <v>5</v>
      </c>
    </row>
    <row r="934" spans="1:6" x14ac:dyDescent="0.4">
      <c r="A934" s="6" t="s">
        <v>61</v>
      </c>
      <c r="B934" s="8">
        <v>24</v>
      </c>
      <c r="C934" s="6"/>
      <c r="D934" s="73">
        <v>4.5</v>
      </c>
      <c r="E934" s="65">
        <f t="shared" si="43"/>
        <v>5.1990291262135919</v>
      </c>
      <c r="F934" s="63">
        <f t="shared" si="42"/>
        <v>5</v>
      </c>
    </row>
    <row r="935" spans="1:6" x14ac:dyDescent="0.4">
      <c r="A935" s="6" t="s">
        <v>64</v>
      </c>
      <c r="B935" s="8">
        <v>24</v>
      </c>
      <c r="C935" s="6"/>
      <c r="D935" s="73">
        <v>4.5</v>
      </c>
      <c r="E935" s="65">
        <f t="shared" si="43"/>
        <v>5.1990291262135919</v>
      </c>
      <c r="F935" s="63">
        <f t="shared" si="42"/>
        <v>5</v>
      </c>
    </row>
    <row r="936" spans="1:6" x14ac:dyDescent="0.4">
      <c r="A936" s="6" t="s">
        <v>63</v>
      </c>
      <c r="B936" s="8">
        <v>24</v>
      </c>
      <c r="C936" s="6"/>
      <c r="D936" s="73">
        <v>12</v>
      </c>
      <c r="E936" s="65">
        <f t="shared" si="43"/>
        <v>13.864077669902912</v>
      </c>
      <c r="F936" s="63">
        <f t="shared" si="42"/>
        <v>14</v>
      </c>
    </row>
    <row r="937" spans="1:6" x14ac:dyDescent="0.4">
      <c r="A937" s="6" t="s">
        <v>48</v>
      </c>
      <c r="B937" s="8">
        <v>22</v>
      </c>
      <c r="C937" s="6"/>
      <c r="D937" s="73">
        <v>6</v>
      </c>
      <c r="E937" s="65">
        <f t="shared" si="43"/>
        <v>6.9320388349514559</v>
      </c>
      <c r="F937" s="63">
        <f t="shared" si="42"/>
        <v>7</v>
      </c>
    </row>
    <row r="938" spans="1:6" x14ac:dyDescent="0.4">
      <c r="A938" s="6" t="s">
        <v>49</v>
      </c>
      <c r="B938" s="8">
        <v>22</v>
      </c>
      <c r="C938" s="6"/>
      <c r="D938" s="73">
        <v>7</v>
      </c>
      <c r="E938" s="65">
        <f t="shared" si="43"/>
        <v>8.0873786407766985</v>
      </c>
      <c r="F938" s="63">
        <f t="shared" si="42"/>
        <v>8</v>
      </c>
    </row>
    <row r="939" spans="1:6" x14ac:dyDescent="0.4">
      <c r="A939" s="6" t="s">
        <v>50</v>
      </c>
      <c r="B939" s="8">
        <v>22</v>
      </c>
      <c r="C939" s="6"/>
      <c r="D939" s="73">
        <v>7.5</v>
      </c>
      <c r="E939" s="65">
        <f t="shared" si="43"/>
        <v>8.6650485436893199</v>
      </c>
      <c r="F939" s="63">
        <f t="shared" si="42"/>
        <v>9</v>
      </c>
    </row>
    <row r="940" spans="1:6" x14ac:dyDescent="0.4">
      <c r="A940" s="6" t="s">
        <v>47</v>
      </c>
      <c r="B940" s="8">
        <v>22</v>
      </c>
      <c r="C940" s="6"/>
      <c r="D940" s="73">
        <v>7</v>
      </c>
      <c r="E940" s="65">
        <f t="shared" si="43"/>
        <v>8.0873786407766985</v>
      </c>
      <c r="F940" s="63">
        <f t="shared" si="42"/>
        <v>8</v>
      </c>
    </row>
    <row r="941" spans="1:6" x14ac:dyDescent="0.4">
      <c r="A941" s="6" t="s">
        <v>392</v>
      </c>
      <c r="B941" s="7">
        <v>98</v>
      </c>
      <c r="C941" s="6"/>
      <c r="D941" s="73">
        <v>15</v>
      </c>
      <c r="E941" s="65">
        <f t="shared" si="43"/>
        <v>17.33009708737864</v>
      </c>
      <c r="F941" s="63">
        <f t="shared" si="42"/>
        <v>17</v>
      </c>
    </row>
    <row r="942" spans="1:6" x14ac:dyDescent="0.4">
      <c r="A942" s="6" t="s">
        <v>958</v>
      </c>
      <c r="B942" s="7">
        <v>65</v>
      </c>
      <c r="C942" s="6"/>
      <c r="D942" s="73">
        <v>15</v>
      </c>
      <c r="E942" s="65">
        <f t="shared" si="43"/>
        <v>17.33009708737864</v>
      </c>
      <c r="F942" s="63">
        <f t="shared" si="42"/>
        <v>17</v>
      </c>
    </row>
    <row r="943" spans="1:6" x14ac:dyDescent="0.4">
      <c r="A943" s="6" t="s">
        <v>566</v>
      </c>
      <c r="B943" s="7">
        <v>138</v>
      </c>
      <c r="C943" s="6"/>
      <c r="D943" s="73">
        <v>15</v>
      </c>
      <c r="E943" s="65">
        <f t="shared" si="43"/>
        <v>17.33009708737864</v>
      </c>
      <c r="F943" s="63">
        <f t="shared" si="42"/>
        <v>17</v>
      </c>
    </row>
    <row r="944" spans="1:6" x14ac:dyDescent="0.4">
      <c r="A944" s="6" t="s">
        <v>1614</v>
      </c>
      <c r="B944" s="7">
        <v>138</v>
      </c>
      <c r="C944" s="6"/>
      <c r="D944" s="73">
        <v>18</v>
      </c>
      <c r="E944" s="65">
        <f t="shared" si="43"/>
        <v>20.796116504854368</v>
      </c>
      <c r="F944" s="63">
        <f t="shared" si="42"/>
        <v>21</v>
      </c>
    </row>
    <row r="945" spans="1:7" x14ac:dyDescent="0.4">
      <c r="A945" s="6" t="s">
        <v>567</v>
      </c>
      <c r="B945" s="7">
        <v>138</v>
      </c>
      <c r="C945" s="6"/>
      <c r="D945" s="73">
        <v>15</v>
      </c>
      <c r="E945" s="65">
        <f t="shared" si="43"/>
        <v>17.33009708737864</v>
      </c>
      <c r="F945" s="63">
        <f t="shared" si="42"/>
        <v>17</v>
      </c>
    </row>
    <row r="946" spans="1:7" x14ac:dyDescent="0.4">
      <c r="A946" s="6" t="s">
        <v>965</v>
      </c>
      <c r="B946" s="7">
        <v>142</v>
      </c>
      <c r="C946" s="6"/>
      <c r="D946" s="73">
        <v>15</v>
      </c>
      <c r="E946" s="65">
        <f t="shared" si="43"/>
        <v>17.33009708737864</v>
      </c>
      <c r="F946" s="63">
        <f t="shared" si="42"/>
        <v>17</v>
      </c>
    </row>
    <row r="947" spans="1:7" x14ac:dyDescent="0.4">
      <c r="A947" s="6" t="s">
        <v>568</v>
      </c>
      <c r="B947" s="7">
        <v>138</v>
      </c>
      <c r="C947" s="6"/>
      <c r="D947" s="73">
        <v>10</v>
      </c>
      <c r="E947" s="65">
        <f t="shared" si="43"/>
        <v>11.553398058252426</v>
      </c>
      <c r="F947" s="63">
        <f t="shared" si="42"/>
        <v>12</v>
      </c>
    </row>
    <row r="948" spans="1:7" x14ac:dyDescent="0.4">
      <c r="A948" s="6" t="s">
        <v>950</v>
      </c>
      <c r="B948" s="7">
        <v>37</v>
      </c>
      <c r="C948" s="6" t="s">
        <v>1007</v>
      </c>
      <c r="D948" s="73">
        <v>15</v>
      </c>
      <c r="E948" s="65">
        <f t="shared" si="43"/>
        <v>17.33009708737864</v>
      </c>
      <c r="F948" s="63">
        <f t="shared" si="42"/>
        <v>17</v>
      </c>
    </row>
    <row r="949" spans="1:7" x14ac:dyDescent="0.4">
      <c r="A949" s="6" t="s">
        <v>1597</v>
      </c>
      <c r="B949" s="7">
        <v>68</v>
      </c>
      <c r="C949" s="6"/>
      <c r="D949" s="73">
        <v>15</v>
      </c>
      <c r="E949" s="65">
        <f t="shared" si="43"/>
        <v>17.33009708737864</v>
      </c>
      <c r="F949" s="63">
        <f t="shared" si="42"/>
        <v>17</v>
      </c>
    </row>
    <row r="950" spans="1:7" s="6" customFormat="1" x14ac:dyDescent="0.4">
      <c r="A950" s="6" t="s">
        <v>569</v>
      </c>
      <c r="B950" s="7">
        <v>138</v>
      </c>
      <c r="D950" s="73">
        <v>15</v>
      </c>
      <c r="E950" s="65">
        <f t="shared" si="43"/>
        <v>17.33009708737864</v>
      </c>
      <c r="F950" s="63">
        <f t="shared" si="42"/>
        <v>17</v>
      </c>
      <c r="G950" s="8"/>
    </row>
    <row r="951" spans="1:7" s="6" customFormat="1" x14ac:dyDescent="0.4">
      <c r="A951" s="6" t="s">
        <v>505</v>
      </c>
      <c r="B951" s="7">
        <v>118</v>
      </c>
      <c r="D951" s="73">
        <v>20</v>
      </c>
      <c r="E951" s="65">
        <f t="shared" si="43"/>
        <v>23.106796116504853</v>
      </c>
      <c r="F951" s="63">
        <f t="shared" si="42"/>
        <v>23</v>
      </c>
      <c r="G951" s="8"/>
    </row>
    <row r="952" spans="1:7" s="6" customFormat="1" x14ac:dyDescent="0.4">
      <c r="A952" s="6" t="s">
        <v>962</v>
      </c>
      <c r="B952" s="7">
        <v>121</v>
      </c>
      <c r="D952" s="73">
        <v>10</v>
      </c>
      <c r="E952" s="65">
        <f t="shared" si="43"/>
        <v>11.553398058252426</v>
      </c>
      <c r="F952" s="63">
        <f t="shared" si="42"/>
        <v>12</v>
      </c>
      <c r="G952" s="8"/>
    </row>
    <row r="953" spans="1:7" s="6" customFormat="1" x14ac:dyDescent="0.4">
      <c r="A953" s="6" t="s">
        <v>963</v>
      </c>
      <c r="B953" s="7">
        <v>121</v>
      </c>
      <c r="D953" s="73">
        <v>10</v>
      </c>
      <c r="E953" s="65">
        <f t="shared" si="43"/>
        <v>11.553398058252426</v>
      </c>
      <c r="F953" s="63">
        <f t="shared" si="42"/>
        <v>12</v>
      </c>
      <c r="G953" s="8"/>
    </row>
    <row r="954" spans="1:7" s="6" customFormat="1" x14ac:dyDescent="0.4">
      <c r="A954" s="6" t="s">
        <v>1624</v>
      </c>
      <c r="B954" s="8"/>
      <c r="D954" s="73">
        <v>110</v>
      </c>
      <c r="E954" s="66"/>
      <c r="F954" s="63"/>
      <c r="G954" s="8"/>
    </row>
    <row r="955" spans="1:7" s="6" customFormat="1" x14ac:dyDescent="0.4">
      <c r="A955" s="6" t="s">
        <v>1669</v>
      </c>
      <c r="B955" s="8"/>
      <c r="D955" s="73">
        <v>95</v>
      </c>
      <c r="E955" s="66"/>
      <c r="F955" s="63">
        <v>105</v>
      </c>
      <c r="G955" s="8"/>
    </row>
    <row r="956" spans="1:7" s="6" customFormat="1" x14ac:dyDescent="0.4">
      <c r="A956" s="6" t="s">
        <v>1172</v>
      </c>
      <c r="B956" s="8"/>
      <c r="D956" s="73">
        <v>75</v>
      </c>
      <c r="E956" s="66"/>
      <c r="F956" s="63"/>
      <c r="G956" s="8"/>
    </row>
    <row r="957" spans="1:7" s="6" customFormat="1" x14ac:dyDescent="0.4">
      <c r="A957" s="68" t="s">
        <v>1657</v>
      </c>
      <c r="B957" s="8" t="s">
        <v>1672</v>
      </c>
      <c r="D957" s="73">
        <v>22</v>
      </c>
      <c r="E957" s="66"/>
      <c r="F957" s="63"/>
      <c r="G957" s="8"/>
    </row>
    <row r="958" spans="1:7" s="6" customFormat="1" x14ac:dyDescent="0.4">
      <c r="A958" s="68" t="s">
        <v>1661</v>
      </c>
      <c r="B958" s="8" t="s">
        <v>1672</v>
      </c>
      <c r="D958" s="73">
        <v>45</v>
      </c>
      <c r="E958" s="66"/>
      <c r="F958" s="63"/>
      <c r="G958" s="8"/>
    </row>
    <row r="959" spans="1:7" s="6" customFormat="1" x14ac:dyDescent="0.4">
      <c r="A959" s="68" t="s">
        <v>1623</v>
      </c>
      <c r="B959" s="8" t="s">
        <v>1673</v>
      </c>
      <c r="D959" s="73">
        <v>35</v>
      </c>
      <c r="E959" s="66"/>
      <c r="F959" s="63"/>
      <c r="G959" s="8"/>
    </row>
    <row r="960" spans="1:7" s="6" customFormat="1" x14ac:dyDescent="0.4">
      <c r="A960" s="68" t="s">
        <v>1503</v>
      </c>
      <c r="B960" s="8" t="s">
        <v>1673</v>
      </c>
      <c r="D960" s="73">
        <v>35</v>
      </c>
      <c r="E960" s="66"/>
      <c r="F960" s="63"/>
      <c r="G960" s="8"/>
    </row>
    <row r="961" spans="1:7" s="6" customFormat="1" x14ac:dyDescent="0.4">
      <c r="A961" s="68" t="s">
        <v>1501</v>
      </c>
      <c r="B961" s="69" t="s">
        <v>1673</v>
      </c>
      <c r="D961" s="73">
        <v>45</v>
      </c>
      <c r="E961" s="66"/>
      <c r="F961" s="63"/>
      <c r="G961" s="8"/>
    </row>
    <row r="962" spans="1:7" s="6" customFormat="1" x14ac:dyDescent="0.4">
      <c r="A962" s="68" t="s">
        <v>1499</v>
      </c>
      <c r="B962" s="69" t="s">
        <v>1673</v>
      </c>
      <c r="D962" s="73">
        <v>45</v>
      </c>
      <c r="E962" s="66"/>
      <c r="F962" s="63"/>
      <c r="G962" s="8"/>
    </row>
    <row r="963" spans="1:7" s="6" customFormat="1" x14ac:dyDescent="0.4">
      <c r="A963" s="68" t="s">
        <v>1217</v>
      </c>
      <c r="B963" s="8" t="s">
        <v>1674</v>
      </c>
      <c r="D963" s="73">
        <v>25</v>
      </c>
      <c r="E963" s="66"/>
      <c r="F963" s="63"/>
      <c r="G963" s="8"/>
    </row>
    <row r="964" spans="1:7" s="6" customFormat="1" x14ac:dyDescent="0.4">
      <c r="A964" s="68" t="s">
        <v>1219</v>
      </c>
      <c r="B964" s="8" t="s">
        <v>1674</v>
      </c>
      <c r="D964" s="73">
        <v>30</v>
      </c>
      <c r="E964" s="66"/>
      <c r="F964" s="63"/>
      <c r="G964" s="8"/>
    </row>
    <row r="965" spans="1:7" s="6" customFormat="1" x14ac:dyDescent="0.4">
      <c r="A965" s="68" t="s">
        <v>1221</v>
      </c>
      <c r="B965" s="69" t="s">
        <v>1674</v>
      </c>
      <c r="D965" s="73">
        <v>60</v>
      </c>
      <c r="E965" s="66"/>
      <c r="F965" s="63"/>
      <c r="G965" s="8"/>
    </row>
    <row r="966" spans="1:7" s="6" customFormat="1" x14ac:dyDescent="0.4">
      <c r="A966" s="68" t="s">
        <v>1509</v>
      </c>
      <c r="B966" s="8" t="s">
        <v>1675</v>
      </c>
      <c r="C966" s="6" t="s">
        <v>1665</v>
      </c>
      <c r="D966" s="73">
        <v>15</v>
      </c>
      <c r="E966" s="66"/>
      <c r="F966" s="63"/>
      <c r="G966" s="8"/>
    </row>
    <row r="967" spans="1:7" s="6" customFormat="1" x14ac:dyDescent="0.4">
      <c r="A967" s="68" t="s">
        <v>1654</v>
      </c>
      <c r="B967" s="8" t="s">
        <v>1675</v>
      </c>
      <c r="D967" s="73">
        <v>15</v>
      </c>
      <c r="E967" s="66"/>
      <c r="F967" s="63"/>
      <c r="G967" s="8"/>
    </row>
    <row r="968" spans="1:7" s="6" customFormat="1" x14ac:dyDescent="0.4">
      <c r="A968" s="68" t="s">
        <v>1508</v>
      </c>
      <c r="B968" s="8" t="s">
        <v>1675</v>
      </c>
      <c r="C968" s="6" t="s">
        <v>1665</v>
      </c>
      <c r="D968" s="73">
        <v>30</v>
      </c>
      <c r="E968" s="66"/>
      <c r="F968" s="63"/>
      <c r="G968" s="8"/>
    </row>
    <row r="969" spans="1:7" s="6" customFormat="1" x14ac:dyDescent="0.4">
      <c r="A969" s="68" t="s">
        <v>1506</v>
      </c>
      <c r="B969" s="8" t="s">
        <v>1675</v>
      </c>
      <c r="D969" s="73">
        <v>50</v>
      </c>
      <c r="E969" s="66"/>
      <c r="F969" s="63"/>
      <c r="G969" s="8"/>
    </row>
    <row r="970" spans="1:7" s="6" customFormat="1" x14ac:dyDescent="0.4">
      <c r="A970" s="68" t="s">
        <v>1395</v>
      </c>
      <c r="B970" s="8" t="s">
        <v>1676</v>
      </c>
      <c r="D970" s="73">
        <v>20</v>
      </c>
      <c r="E970" s="66"/>
      <c r="F970" s="63"/>
      <c r="G970" s="8"/>
    </row>
    <row r="971" spans="1:7" s="6" customFormat="1" x14ac:dyDescent="0.4">
      <c r="A971" s="68" t="s">
        <v>1664</v>
      </c>
      <c r="B971" s="8" t="s">
        <v>1676</v>
      </c>
      <c r="C971" s="6" t="s">
        <v>1421</v>
      </c>
      <c r="D971" s="73">
        <v>15</v>
      </c>
      <c r="E971" s="66"/>
      <c r="F971" s="63"/>
      <c r="G971" s="8"/>
    </row>
    <row r="972" spans="1:7" s="6" customFormat="1" x14ac:dyDescent="0.4">
      <c r="A972" s="68" t="s">
        <v>1427</v>
      </c>
      <c r="B972" s="8" t="s">
        <v>1676</v>
      </c>
      <c r="D972" s="73">
        <v>15</v>
      </c>
      <c r="E972" s="66"/>
      <c r="F972" s="63"/>
      <c r="G972" s="8"/>
    </row>
    <row r="973" spans="1:7" s="6" customFormat="1" x14ac:dyDescent="0.4">
      <c r="A973" s="68" t="s">
        <v>1226</v>
      </c>
      <c r="B973" s="69" t="s">
        <v>1677</v>
      </c>
      <c r="D973" s="73">
        <v>85</v>
      </c>
      <c r="E973" s="66"/>
      <c r="F973" s="63"/>
      <c r="G973" s="8"/>
    </row>
    <row r="974" spans="1:7" s="6" customFormat="1" x14ac:dyDescent="0.4">
      <c r="A974" s="68" t="s">
        <v>1310</v>
      </c>
      <c r="B974" s="8" t="s">
        <v>1677</v>
      </c>
      <c r="D974" s="73">
        <v>30</v>
      </c>
      <c r="E974" s="66"/>
      <c r="F974" s="63"/>
      <c r="G974" s="8"/>
    </row>
    <row r="975" spans="1:7" s="6" customFormat="1" x14ac:dyDescent="0.4">
      <c r="A975" s="68" t="s">
        <v>1401</v>
      </c>
      <c r="B975" s="8" t="s">
        <v>1677</v>
      </c>
      <c r="D975" s="73">
        <v>30</v>
      </c>
      <c r="E975" s="66"/>
      <c r="F975" s="63"/>
      <c r="G975" s="8"/>
    </row>
    <row r="976" spans="1:7" s="6" customFormat="1" x14ac:dyDescent="0.4">
      <c r="A976" s="68" t="s">
        <v>1347</v>
      </c>
      <c r="B976" s="8" t="s">
        <v>1678</v>
      </c>
      <c r="D976" s="73">
        <v>25</v>
      </c>
      <c r="E976" s="66"/>
      <c r="F976" s="63"/>
      <c r="G976" s="8"/>
    </row>
    <row r="977" spans="1:7" s="6" customFormat="1" x14ac:dyDescent="0.4">
      <c r="A977" s="68" t="s">
        <v>1351</v>
      </c>
      <c r="B977" s="70" t="s">
        <v>1678</v>
      </c>
      <c r="D977" s="73">
        <v>45</v>
      </c>
      <c r="E977" s="66"/>
      <c r="F977" s="63"/>
      <c r="G977" s="8"/>
    </row>
    <row r="978" spans="1:7" s="6" customFormat="1" x14ac:dyDescent="0.4">
      <c r="A978" s="68" t="s">
        <v>1513</v>
      </c>
      <c r="B978" s="8" t="s">
        <v>1678</v>
      </c>
      <c r="D978" s="73">
        <v>25</v>
      </c>
      <c r="E978" s="66"/>
      <c r="F978" s="63"/>
      <c r="G978" s="8"/>
    </row>
    <row r="979" spans="1:7" s="6" customFormat="1" x14ac:dyDescent="0.4">
      <c r="A979" s="68" t="s">
        <v>1214</v>
      </c>
      <c r="B979" s="8" t="s">
        <v>1679</v>
      </c>
      <c r="D979" s="73">
        <v>25</v>
      </c>
      <c r="E979" s="66"/>
      <c r="F979" s="63"/>
      <c r="G979" s="8"/>
    </row>
    <row r="980" spans="1:7" s="6" customFormat="1" x14ac:dyDescent="0.4">
      <c r="A980" s="68" t="s">
        <v>1527</v>
      </c>
      <c r="B980" s="8" t="s">
        <v>1679</v>
      </c>
      <c r="D980" s="73">
        <v>25</v>
      </c>
      <c r="E980" s="66"/>
      <c r="F980" s="63"/>
      <c r="G980" s="8"/>
    </row>
    <row r="981" spans="1:7" s="6" customFormat="1" x14ac:dyDescent="0.4">
      <c r="A981" s="68" t="s">
        <v>1436</v>
      </c>
      <c r="B981" s="8" t="s">
        <v>1679</v>
      </c>
      <c r="D981" s="73">
        <v>8</v>
      </c>
      <c r="E981" s="66"/>
      <c r="F981" s="63">
        <v>5</v>
      </c>
      <c r="G981" s="8"/>
    </row>
    <row r="982" spans="1:7" s="6" customFormat="1" x14ac:dyDescent="0.4">
      <c r="A982" s="68" t="s">
        <v>1797</v>
      </c>
      <c r="B982" s="8" t="s">
        <v>1679</v>
      </c>
      <c r="D982" s="73">
        <v>65</v>
      </c>
      <c r="E982" s="66"/>
      <c r="F982" s="63"/>
      <c r="G982" s="8"/>
    </row>
    <row r="983" spans="1:7" s="6" customFormat="1" x14ac:dyDescent="0.4">
      <c r="A983" s="68" t="s">
        <v>1268</v>
      </c>
      <c r="B983" s="8" t="s">
        <v>1680</v>
      </c>
      <c r="D983" s="73">
        <v>20</v>
      </c>
      <c r="E983" s="66"/>
      <c r="F983" s="63"/>
      <c r="G983" s="8"/>
    </row>
    <row r="984" spans="1:7" s="6" customFormat="1" x14ac:dyDescent="0.4">
      <c r="A984" s="68" t="s">
        <v>1273</v>
      </c>
      <c r="B984" s="8" t="s">
        <v>1680</v>
      </c>
      <c r="D984" s="73">
        <v>10</v>
      </c>
      <c r="E984" s="66"/>
      <c r="F984" s="63"/>
      <c r="G984" s="8"/>
    </row>
    <row r="985" spans="1:7" s="6" customFormat="1" x14ac:dyDescent="0.4">
      <c r="A985" s="68" t="s">
        <v>1524</v>
      </c>
      <c r="B985" s="8" t="s">
        <v>1680</v>
      </c>
      <c r="D985" s="73">
        <v>45</v>
      </c>
      <c r="E985" s="66"/>
      <c r="F985" s="63"/>
      <c r="G985" s="8"/>
    </row>
    <row r="986" spans="1:7" s="6" customFormat="1" x14ac:dyDescent="0.4">
      <c r="A986" s="68" t="s">
        <v>1681</v>
      </c>
      <c r="B986" s="8" t="s">
        <v>1680</v>
      </c>
      <c r="D986" s="73">
        <v>25</v>
      </c>
      <c r="E986" s="66"/>
      <c r="F986" s="63"/>
      <c r="G986" s="8"/>
    </row>
    <row r="987" spans="1:7" s="6" customFormat="1" x14ac:dyDescent="0.4">
      <c r="A987" s="68" t="s">
        <v>1682</v>
      </c>
      <c r="B987" s="8" t="s">
        <v>1680</v>
      </c>
      <c r="D987" s="73">
        <v>15</v>
      </c>
      <c r="E987" s="66"/>
      <c r="F987" s="63"/>
      <c r="G987" s="8"/>
    </row>
    <row r="988" spans="1:7" s="6" customFormat="1" x14ac:dyDescent="0.4">
      <c r="A988" s="68" t="s">
        <v>1474</v>
      </c>
      <c r="B988" s="8" t="s">
        <v>1680</v>
      </c>
      <c r="D988" s="73">
        <v>25</v>
      </c>
      <c r="E988" s="66"/>
      <c r="F988" s="63"/>
      <c r="G988" s="8"/>
    </row>
    <row r="989" spans="1:7" s="6" customFormat="1" x14ac:dyDescent="0.4">
      <c r="A989" s="68" t="s">
        <v>1224</v>
      </c>
      <c r="B989" s="8" t="s">
        <v>1683</v>
      </c>
      <c r="D989" s="73">
        <v>20</v>
      </c>
      <c r="E989" s="66"/>
      <c r="F989" s="63">
        <v>25</v>
      </c>
      <c r="G989" s="8"/>
    </row>
    <row r="990" spans="1:7" s="6" customFormat="1" x14ac:dyDescent="0.4">
      <c r="A990" s="68" t="s">
        <v>1228</v>
      </c>
      <c r="B990" s="8" t="s">
        <v>1683</v>
      </c>
      <c r="D990" s="73">
        <v>25</v>
      </c>
      <c r="E990" s="66"/>
      <c r="F990" s="63"/>
      <c r="G990" s="8"/>
    </row>
    <row r="991" spans="1:7" s="6" customFormat="1" x14ac:dyDescent="0.4">
      <c r="A991" s="68" t="s">
        <v>1229</v>
      </c>
      <c r="B991" s="8" t="s">
        <v>1683</v>
      </c>
      <c r="D991" s="73">
        <v>25</v>
      </c>
      <c r="E991" s="66"/>
      <c r="F991" s="63"/>
      <c r="G991" s="8"/>
    </row>
    <row r="992" spans="1:7" s="6" customFormat="1" x14ac:dyDescent="0.4">
      <c r="A992" s="68" t="s">
        <v>1231</v>
      </c>
      <c r="B992" s="8" t="s">
        <v>1683</v>
      </c>
      <c r="D992" s="73">
        <v>15</v>
      </c>
      <c r="E992" s="66"/>
      <c r="F992" s="63">
        <v>20</v>
      </c>
      <c r="G992" s="8"/>
    </row>
    <row r="993" spans="1:7" s="6" customFormat="1" x14ac:dyDescent="0.4">
      <c r="A993" s="68" t="s">
        <v>1243</v>
      </c>
      <c r="B993" s="8" t="s">
        <v>1683</v>
      </c>
      <c r="D993" s="73">
        <v>25</v>
      </c>
      <c r="E993" s="66"/>
      <c r="F993" s="63">
        <v>35</v>
      </c>
      <c r="G993" s="8"/>
    </row>
    <row r="994" spans="1:7" s="6" customFormat="1" x14ac:dyDescent="0.4">
      <c r="A994" s="68" t="s">
        <v>1520</v>
      </c>
      <c r="B994" s="69" t="s">
        <v>1684</v>
      </c>
      <c r="D994" s="73">
        <v>15</v>
      </c>
      <c r="E994" s="66"/>
      <c r="F994" s="63"/>
      <c r="G994" s="8"/>
    </row>
    <row r="995" spans="1:7" s="6" customFormat="1" x14ac:dyDescent="0.4">
      <c r="A995" s="68" t="s">
        <v>1685</v>
      </c>
      <c r="B995" s="8" t="s">
        <v>1684</v>
      </c>
      <c r="D995" s="73">
        <v>65</v>
      </c>
      <c r="E995" s="66"/>
      <c r="F995" s="63"/>
      <c r="G995" s="8"/>
    </row>
    <row r="996" spans="1:7" s="6" customFormat="1" x14ac:dyDescent="0.4">
      <c r="A996" s="68" t="s">
        <v>1282</v>
      </c>
      <c r="B996" s="8" t="s">
        <v>1684</v>
      </c>
      <c r="D996" s="73">
        <v>15</v>
      </c>
      <c r="E996" s="66"/>
      <c r="F996" s="63"/>
      <c r="G996" s="8"/>
    </row>
    <row r="997" spans="1:7" s="6" customFormat="1" x14ac:dyDescent="0.4">
      <c r="A997" s="68" t="s">
        <v>1286</v>
      </c>
      <c r="B997" s="69" t="s">
        <v>1684</v>
      </c>
      <c r="D997" s="73">
        <v>20</v>
      </c>
      <c r="E997" s="66"/>
      <c r="F997" s="63"/>
      <c r="G997" s="8"/>
    </row>
    <row r="998" spans="1:7" s="6" customFormat="1" x14ac:dyDescent="0.4">
      <c r="A998" s="68" t="s">
        <v>1287</v>
      </c>
      <c r="B998" s="8" t="s">
        <v>1684</v>
      </c>
      <c r="D998" s="73">
        <v>20</v>
      </c>
      <c r="E998" s="66"/>
      <c r="F998" s="63"/>
      <c r="G998" s="8"/>
    </row>
    <row r="999" spans="1:7" s="6" customFormat="1" x14ac:dyDescent="0.4">
      <c r="A999" s="68" t="s">
        <v>1403</v>
      </c>
      <c r="B999" s="8" t="s">
        <v>1684</v>
      </c>
      <c r="D999" s="73">
        <v>25</v>
      </c>
      <c r="E999" s="66"/>
      <c r="F999" s="63"/>
      <c r="G999" s="8"/>
    </row>
    <row r="1000" spans="1:7" s="6" customFormat="1" x14ac:dyDescent="0.4">
      <c r="A1000" s="68" t="s">
        <v>1653</v>
      </c>
      <c r="B1000" s="8" t="s">
        <v>1686</v>
      </c>
      <c r="D1000" s="73">
        <v>45</v>
      </c>
      <c r="E1000" s="66"/>
      <c r="F1000" s="63"/>
      <c r="G1000" s="8"/>
    </row>
    <row r="1001" spans="1:7" s="6" customFormat="1" x14ac:dyDescent="0.4">
      <c r="A1001" s="68" t="s">
        <v>1662</v>
      </c>
      <c r="B1001" s="8" t="s">
        <v>1686</v>
      </c>
      <c r="D1001" s="73">
        <v>50</v>
      </c>
      <c r="E1001" s="66"/>
      <c r="F1001" s="63"/>
      <c r="G1001" s="8"/>
    </row>
    <row r="1002" spans="1:7" s="6" customFormat="1" x14ac:dyDescent="0.4">
      <c r="A1002" s="68" t="s">
        <v>1663</v>
      </c>
      <c r="B1002" s="8" t="s">
        <v>1686</v>
      </c>
      <c r="D1002" s="73">
        <v>45</v>
      </c>
      <c r="E1002" s="66"/>
      <c r="F1002" s="63"/>
      <c r="G1002" s="8"/>
    </row>
    <row r="1003" spans="1:7" s="6" customFormat="1" x14ac:dyDescent="0.4">
      <c r="A1003" s="68" t="s">
        <v>1475</v>
      </c>
      <c r="B1003" s="8" t="s">
        <v>1686</v>
      </c>
      <c r="D1003" s="73">
        <v>30</v>
      </c>
      <c r="E1003" s="66"/>
      <c r="F1003" s="63"/>
      <c r="G1003" s="8"/>
    </row>
    <row r="1004" spans="1:7" s="6" customFormat="1" x14ac:dyDescent="0.4">
      <c r="A1004" s="68" t="s">
        <v>1477</v>
      </c>
      <c r="B1004" s="8" t="s">
        <v>1686</v>
      </c>
      <c r="D1004" s="73">
        <v>35</v>
      </c>
      <c r="E1004" s="66"/>
      <c r="F1004" s="63"/>
      <c r="G1004" s="8"/>
    </row>
    <row r="1005" spans="1:7" s="6" customFormat="1" x14ac:dyDescent="0.4">
      <c r="A1005" s="68" t="s">
        <v>1201</v>
      </c>
      <c r="B1005" s="8" t="s">
        <v>1687</v>
      </c>
      <c r="D1005" s="73">
        <v>30</v>
      </c>
      <c r="E1005" s="66"/>
      <c r="F1005" s="63"/>
      <c r="G1005" s="8"/>
    </row>
    <row r="1006" spans="1:7" s="6" customFormat="1" x14ac:dyDescent="0.4">
      <c r="A1006" s="68" t="s">
        <v>1688</v>
      </c>
      <c r="B1006" s="8" t="s">
        <v>1687</v>
      </c>
      <c r="D1006" s="73">
        <v>20</v>
      </c>
      <c r="E1006" s="66"/>
      <c r="F1006" s="63"/>
      <c r="G1006" s="8"/>
    </row>
    <row r="1007" spans="1:7" s="6" customFormat="1" x14ac:dyDescent="0.4">
      <c r="A1007" s="68" t="s">
        <v>1658</v>
      </c>
      <c r="B1007" s="8" t="s">
        <v>1687</v>
      </c>
      <c r="D1007" s="73">
        <v>12</v>
      </c>
      <c r="E1007" s="66">
        <v>12</v>
      </c>
      <c r="F1007" s="63">
        <v>12</v>
      </c>
      <c r="G1007" s="8"/>
    </row>
    <row r="1008" spans="1:7" s="6" customFormat="1" x14ac:dyDescent="0.4">
      <c r="A1008" s="68" t="s">
        <v>1518</v>
      </c>
      <c r="B1008" s="8" t="s">
        <v>1689</v>
      </c>
      <c r="D1008" s="73">
        <v>20</v>
      </c>
      <c r="E1008" s="66"/>
      <c r="F1008" s="63"/>
      <c r="G1008" s="8"/>
    </row>
    <row r="1009" spans="1:7" s="6" customFormat="1" x14ac:dyDescent="0.4">
      <c r="A1009" s="68" t="s">
        <v>1379</v>
      </c>
      <c r="B1009" s="69" t="s">
        <v>1689</v>
      </c>
      <c r="D1009" s="73">
        <v>45</v>
      </c>
      <c r="E1009" s="66"/>
      <c r="F1009" s="63"/>
      <c r="G1009" s="8"/>
    </row>
    <row r="1010" spans="1:7" s="6" customFormat="1" x14ac:dyDescent="0.4">
      <c r="A1010" s="68" t="s">
        <v>1516</v>
      </c>
      <c r="B1010" s="8" t="s">
        <v>1689</v>
      </c>
      <c r="D1010" s="73">
        <v>35</v>
      </c>
      <c r="E1010" s="66"/>
      <c r="F1010" s="63"/>
      <c r="G1010" s="8"/>
    </row>
    <row r="1011" spans="1:7" s="6" customFormat="1" x14ac:dyDescent="0.4">
      <c r="A1011" s="68" t="s">
        <v>1801</v>
      </c>
      <c r="B1011" s="8" t="s">
        <v>1690</v>
      </c>
      <c r="D1011" s="73">
        <v>30</v>
      </c>
      <c r="E1011" s="66"/>
      <c r="F1011" s="63"/>
      <c r="G1011" s="8"/>
    </row>
    <row r="1012" spans="1:7" s="6" customFormat="1" x14ac:dyDescent="0.4">
      <c r="A1012" s="68" t="s">
        <v>1802</v>
      </c>
      <c r="B1012" s="8" t="s">
        <v>1690</v>
      </c>
      <c r="D1012" s="73">
        <v>30</v>
      </c>
      <c r="E1012" s="66"/>
      <c r="F1012" s="63"/>
      <c r="G1012" s="8"/>
    </row>
    <row r="1013" spans="1:7" s="6" customFormat="1" x14ac:dyDescent="0.4">
      <c r="A1013" s="68" t="s">
        <v>1803</v>
      </c>
      <c r="B1013" s="8" t="s">
        <v>1690</v>
      </c>
      <c r="D1013" s="73">
        <v>30</v>
      </c>
      <c r="E1013" s="66"/>
      <c r="F1013" s="63"/>
      <c r="G1013" s="8"/>
    </row>
    <row r="1014" spans="1:7" s="6" customFormat="1" x14ac:dyDescent="0.4">
      <c r="A1014" s="68" t="s">
        <v>1799</v>
      </c>
      <c r="B1014" s="8" t="s">
        <v>1690</v>
      </c>
      <c r="D1014" s="73">
        <v>30</v>
      </c>
      <c r="E1014" s="66"/>
      <c r="F1014" s="63"/>
      <c r="G1014" s="8"/>
    </row>
    <row r="1015" spans="1:7" s="6" customFormat="1" x14ac:dyDescent="0.4">
      <c r="A1015" s="68" t="s">
        <v>1798</v>
      </c>
      <c r="B1015" s="8" t="s">
        <v>1690</v>
      </c>
      <c r="D1015" s="73">
        <v>65</v>
      </c>
      <c r="E1015" s="66"/>
      <c r="F1015" s="63"/>
      <c r="G1015" s="8"/>
    </row>
    <row r="1016" spans="1:7" s="6" customFormat="1" x14ac:dyDescent="0.4">
      <c r="A1016" s="68" t="s">
        <v>1800</v>
      </c>
      <c r="B1016" s="69" t="s">
        <v>1690</v>
      </c>
      <c r="D1016" s="73">
        <v>30</v>
      </c>
      <c r="E1016" s="66"/>
      <c r="F1016" s="63"/>
      <c r="G1016" s="8"/>
    </row>
    <row r="1017" spans="1:7" s="6" customFormat="1" x14ac:dyDescent="0.4">
      <c r="A1017" s="68" t="s">
        <v>1692</v>
      </c>
      <c r="B1017" s="8" t="s">
        <v>1691</v>
      </c>
      <c r="D1017" s="73">
        <v>15</v>
      </c>
      <c r="E1017" s="66"/>
      <c r="F1017" s="63"/>
      <c r="G1017" s="8"/>
    </row>
    <row r="1018" spans="1:7" s="6" customFormat="1" x14ac:dyDescent="0.4">
      <c r="A1018" s="68" t="s">
        <v>1693</v>
      </c>
      <c r="B1018" s="8" t="s">
        <v>1691</v>
      </c>
      <c r="D1018" s="73">
        <v>30</v>
      </c>
      <c r="E1018" s="66"/>
      <c r="F1018" s="63"/>
      <c r="G1018" s="8"/>
    </row>
    <row r="1019" spans="1:7" s="6" customFormat="1" x14ac:dyDescent="0.4">
      <c r="A1019" s="68" t="s">
        <v>1694</v>
      </c>
      <c r="B1019" s="8" t="s">
        <v>1691</v>
      </c>
      <c r="D1019" s="73">
        <v>75</v>
      </c>
      <c r="E1019" s="66"/>
      <c r="F1019" s="63"/>
      <c r="G1019" s="8"/>
    </row>
    <row r="1020" spans="1:7" s="6" customFormat="1" x14ac:dyDescent="0.4">
      <c r="A1020" s="68" t="s">
        <v>1365</v>
      </c>
      <c r="B1020" s="8" t="s">
        <v>1691</v>
      </c>
      <c r="D1020" s="73">
        <v>55</v>
      </c>
      <c r="E1020" s="66"/>
      <c r="F1020" s="63"/>
      <c r="G1020" s="8"/>
    </row>
    <row r="1021" spans="1:7" s="6" customFormat="1" x14ac:dyDescent="0.4">
      <c r="A1021" s="68" t="s">
        <v>1415</v>
      </c>
      <c r="B1021" s="8" t="s">
        <v>1691</v>
      </c>
      <c r="D1021" s="73">
        <v>160</v>
      </c>
      <c r="E1021" s="66"/>
      <c r="F1021" s="63"/>
      <c r="G1021" s="8"/>
    </row>
    <row r="1022" spans="1:7" s="6" customFormat="1" x14ac:dyDescent="0.4">
      <c r="A1022" s="68" t="s">
        <v>1804</v>
      </c>
      <c r="B1022" s="8" t="s">
        <v>1691</v>
      </c>
      <c r="D1022" s="73">
        <v>65</v>
      </c>
      <c r="E1022" s="66"/>
      <c r="F1022" s="63"/>
      <c r="G1022" s="8"/>
    </row>
    <row r="1023" spans="1:7" s="6" customFormat="1" x14ac:dyDescent="0.4">
      <c r="A1023" s="68" t="s">
        <v>1152</v>
      </c>
      <c r="B1023" s="8" t="s">
        <v>1691</v>
      </c>
      <c r="D1023" s="73">
        <v>15</v>
      </c>
      <c r="E1023" s="66"/>
      <c r="F1023" s="63"/>
      <c r="G1023" s="8"/>
    </row>
    <row r="1024" spans="1:7" s="6" customFormat="1" x14ac:dyDescent="0.4">
      <c r="A1024" s="68" t="s">
        <v>1695</v>
      </c>
      <c r="B1024" s="8" t="s">
        <v>1696</v>
      </c>
      <c r="D1024" s="73">
        <v>15</v>
      </c>
      <c r="E1024" s="66"/>
      <c r="F1024" s="63"/>
      <c r="G1024" s="8"/>
    </row>
    <row r="1025" spans="1:7" s="6" customFormat="1" x14ac:dyDescent="0.4">
      <c r="A1025" s="68" t="s">
        <v>1697</v>
      </c>
      <c r="B1025" s="69" t="s">
        <v>1696</v>
      </c>
      <c r="D1025" s="73">
        <v>20</v>
      </c>
      <c r="E1025" s="66"/>
      <c r="F1025" s="63"/>
      <c r="G1025" s="8"/>
    </row>
    <row r="1026" spans="1:7" s="6" customFormat="1" x14ac:dyDescent="0.4">
      <c r="A1026" s="68" t="s">
        <v>1698</v>
      </c>
      <c r="B1026" s="8" t="s">
        <v>1696</v>
      </c>
      <c r="D1026" s="73">
        <v>17</v>
      </c>
      <c r="E1026" s="66"/>
      <c r="F1026" s="63"/>
      <c r="G1026" s="8"/>
    </row>
    <row r="1027" spans="1:7" s="6" customFormat="1" x14ac:dyDescent="0.4">
      <c r="A1027" s="68" t="s">
        <v>1699</v>
      </c>
      <c r="B1027" s="8" t="s">
        <v>1696</v>
      </c>
      <c r="D1027" s="73">
        <v>35</v>
      </c>
      <c r="E1027" s="66"/>
      <c r="F1027" s="63"/>
      <c r="G1027" s="8"/>
    </row>
    <row r="1028" spans="1:7" s="6" customFormat="1" x14ac:dyDescent="0.4">
      <c r="A1028" s="68" t="s">
        <v>1700</v>
      </c>
      <c r="B1028" s="8" t="s">
        <v>1696</v>
      </c>
      <c r="D1028" s="73">
        <v>12</v>
      </c>
      <c r="E1028" s="66"/>
      <c r="F1028" s="63"/>
      <c r="G1028" s="8"/>
    </row>
    <row r="1029" spans="1:7" s="6" customFormat="1" x14ac:dyDescent="0.4">
      <c r="A1029" s="68" t="s">
        <v>1701</v>
      </c>
      <c r="B1029" s="8" t="s">
        <v>1702</v>
      </c>
      <c r="D1029" s="73">
        <v>30</v>
      </c>
      <c r="E1029" s="66"/>
      <c r="F1029" s="63"/>
      <c r="G1029" s="8"/>
    </row>
    <row r="1030" spans="1:7" s="6" customFormat="1" x14ac:dyDescent="0.4">
      <c r="A1030" s="68" t="s">
        <v>1703</v>
      </c>
      <c r="B1030" s="69" t="s">
        <v>1702</v>
      </c>
      <c r="D1030" s="73">
        <v>18</v>
      </c>
      <c r="E1030" s="66"/>
      <c r="F1030" s="63"/>
      <c r="G1030" s="8"/>
    </row>
    <row r="1031" spans="1:7" s="6" customFormat="1" x14ac:dyDescent="0.4">
      <c r="A1031" s="68" t="s">
        <v>1704</v>
      </c>
      <c r="B1031" s="8" t="s">
        <v>1702</v>
      </c>
      <c r="D1031" s="73">
        <v>60</v>
      </c>
      <c r="E1031" s="66"/>
      <c r="F1031" s="63"/>
      <c r="G1031" s="8"/>
    </row>
    <row r="1032" spans="1:7" s="6" customFormat="1" x14ac:dyDescent="0.4">
      <c r="A1032" s="68" t="s">
        <v>1705</v>
      </c>
      <c r="B1032" s="8" t="s">
        <v>1706</v>
      </c>
      <c r="D1032" s="73">
        <v>18</v>
      </c>
      <c r="E1032" s="66"/>
      <c r="F1032" s="63"/>
      <c r="G1032" s="8"/>
    </row>
    <row r="1033" spans="1:7" s="6" customFormat="1" x14ac:dyDescent="0.4">
      <c r="A1033" s="68" t="s">
        <v>1707</v>
      </c>
      <c r="B1033" s="8" t="s">
        <v>1706</v>
      </c>
      <c r="D1033" s="73">
        <v>30</v>
      </c>
      <c r="E1033" s="66"/>
      <c r="F1033" s="63"/>
      <c r="G1033" s="8"/>
    </row>
    <row r="1034" spans="1:7" s="6" customFormat="1" x14ac:dyDescent="0.4">
      <c r="A1034" s="68" t="s">
        <v>1708</v>
      </c>
      <c r="B1034" s="8" t="s">
        <v>1706</v>
      </c>
      <c r="D1034" s="73">
        <v>50</v>
      </c>
      <c r="E1034" s="66"/>
      <c r="F1034" s="63"/>
      <c r="G1034" s="8"/>
    </row>
    <row r="1035" spans="1:7" s="6" customFormat="1" x14ac:dyDescent="0.4">
      <c r="A1035" s="68" t="s">
        <v>1206</v>
      </c>
      <c r="B1035" s="8" t="s">
        <v>1709</v>
      </c>
      <c r="D1035" s="73">
        <v>15</v>
      </c>
      <c r="E1035" s="66"/>
      <c r="F1035" s="63"/>
      <c r="G1035" s="8"/>
    </row>
    <row r="1036" spans="1:7" s="6" customFormat="1" x14ac:dyDescent="0.4">
      <c r="A1036" s="68" t="s">
        <v>1208</v>
      </c>
      <c r="B1036" s="8" t="s">
        <v>1709</v>
      </c>
      <c r="D1036" s="73">
        <v>20</v>
      </c>
      <c r="E1036" s="66"/>
      <c r="F1036" s="63"/>
      <c r="G1036" s="8"/>
    </row>
    <row r="1037" spans="1:7" s="6" customFormat="1" x14ac:dyDescent="0.4">
      <c r="A1037" s="68" t="s">
        <v>1209</v>
      </c>
      <c r="B1037" s="8" t="s">
        <v>1709</v>
      </c>
      <c r="D1037" s="73">
        <v>25</v>
      </c>
      <c r="E1037" s="66"/>
      <c r="F1037" s="63"/>
      <c r="G1037" s="8"/>
    </row>
    <row r="1038" spans="1:7" s="6" customFormat="1" x14ac:dyDescent="0.4">
      <c r="A1038" s="68" t="s">
        <v>1335</v>
      </c>
      <c r="B1038" s="8" t="s">
        <v>1709</v>
      </c>
      <c r="D1038" s="73">
        <v>20</v>
      </c>
      <c r="E1038" s="66"/>
      <c r="F1038" s="63"/>
      <c r="G1038" s="8"/>
    </row>
    <row r="1039" spans="1:7" s="6" customFormat="1" x14ac:dyDescent="0.4">
      <c r="A1039" s="68" t="s">
        <v>1336</v>
      </c>
      <c r="B1039" s="8" t="s">
        <v>1709</v>
      </c>
      <c r="D1039" s="73">
        <v>25</v>
      </c>
      <c r="E1039" s="66"/>
      <c r="F1039" s="63"/>
      <c r="G1039" s="8"/>
    </row>
    <row r="1040" spans="1:7" s="6" customFormat="1" x14ac:dyDescent="0.4">
      <c r="A1040" s="68" t="s">
        <v>1478</v>
      </c>
      <c r="B1040" s="69" t="s">
        <v>1709</v>
      </c>
      <c r="D1040" s="73">
        <v>25</v>
      </c>
      <c r="E1040" s="66"/>
      <c r="F1040" s="63"/>
      <c r="G1040" s="8"/>
    </row>
    <row r="1041" spans="1:7" s="6" customFormat="1" x14ac:dyDescent="0.4">
      <c r="A1041" s="68" t="s">
        <v>1278</v>
      </c>
      <c r="B1041" s="8" t="s">
        <v>1710</v>
      </c>
      <c r="D1041" s="73">
        <v>35</v>
      </c>
      <c r="E1041" s="66"/>
      <c r="F1041" s="63">
        <v>35</v>
      </c>
      <c r="G1041" s="8"/>
    </row>
    <row r="1042" spans="1:7" s="6" customFormat="1" x14ac:dyDescent="0.4">
      <c r="A1042" s="68" t="s">
        <v>1441</v>
      </c>
      <c r="B1042" s="8" t="s">
        <v>1710</v>
      </c>
      <c r="D1042" s="73">
        <v>65</v>
      </c>
      <c r="E1042" s="66"/>
      <c r="F1042" s="63"/>
      <c r="G1042" s="8"/>
    </row>
    <row r="1043" spans="1:7" s="6" customFormat="1" x14ac:dyDescent="0.4">
      <c r="A1043" s="68" t="s">
        <v>1494</v>
      </c>
      <c r="B1043" s="69" t="s">
        <v>1710</v>
      </c>
      <c r="D1043" s="73">
        <v>85</v>
      </c>
      <c r="E1043" s="66"/>
      <c r="F1043" s="63"/>
      <c r="G1043" s="8"/>
    </row>
    <row r="1044" spans="1:7" s="6" customFormat="1" x14ac:dyDescent="0.4">
      <c r="A1044" s="68" t="s">
        <v>1805</v>
      </c>
      <c r="B1044" s="8" t="s">
        <v>1711</v>
      </c>
      <c r="D1044" s="73">
        <v>15</v>
      </c>
      <c r="E1044" s="66"/>
      <c r="F1044" s="63">
        <v>22</v>
      </c>
      <c r="G1044" s="8"/>
    </row>
    <row r="1045" spans="1:7" s="6" customFormat="1" x14ac:dyDescent="0.4">
      <c r="A1045" s="68" t="s">
        <v>1660</v>
      </c>
      <c r="B1045" s="8" t="s">
        <v>1711</v>
      </c>
      <c r="D1045" s="73">
        <v>140</v>
      </c>
      <c r="E1045" s="66"/>
      <c r="F1045" s="63"/>
      <c r="G1045" s="8"/>
    </row>
    <row r="1046" spans="1:7" s="6" customFormat="1" x14ac:dyDescent="0.4">
      <c r="A1046" s="68" t="s">
        <v>1302</v>
      </c>
      <c r="B1046" s="69" t="s">
        <v>1711</v>
      </c>
      <c r="D1046" s="73">
        <v>25</v>
      </c>
      <c r="E1046" s="66"/>
      <c r="F1046" s="63"/>
      <c r="G1046" s="8"/>
    </row>
    <row r="1047" spans="1:7" s="6" customFormat="1" x14ac:dyDescent="0.4">
      <c r="A1047" s="68" t="s">
        <v>1315</v>
      </c>
      <c r="B1047" s="8" t="s">
        <v>1711</v>
      </c>
      <c r="D1047" s="73">
        <v>20</v>
      </c>
      <c r="E1047" s="66"/>
      <c r="F1047" s="63"/>
      <c r="G1047" s="8"/>
    </row>
    <row r="1048" spans="1:7" s="6" customFormat="1" x14ac:dyDescent="0.4">
      <c r="A1048" s="68" t="s">
        <v>1375</v>
      </c>
      <c r="B1048" s="69" t="s">
        <v>1711</v>
      </c>
      <c r="D1048" s="73">
        <v>20</v>
      </c>
      <c r="E1048" s="66"/>
      <c r="F1048" s="63"/>
      <c r="G1048" s="8"/>
    </row>
    <row r="1049" spans="1:7" s="6" customFormat="1" x14ac:dyDescent="0.4">
      <c r="A1049" s="68" t="s">
        <v>1377</v>
      </c>
      <c r="B1049" s="8" t="s">
        <v>1711</v>
      </c>
      <c r="D1049" s="73">
        <v>25</v>
      </c>
      <c r="E1049" s="66"/>
      <c r="F1049" s="63"/>
      <c r="G1049" s="8"/>
    </row>
    <row r="1050" spans="1:7" s="6" customFormat="1" x14ac:dyDescent="0.4">
      <c r="A1050" s="68" t="s">
        <v>1400</v>
      </c>
      <c r="B1050" s="8" t="s">
        <v>1711</v>
      </c>
      <c r="D1050" s="73">
        <v>30</v>
      </c>
      <c r="E1050" s="66"/>
      <c r="F1050" s="63"/>
      <c r="G1050" s="8"/>
    </row>
    <row r="1051" spans="1:7" s="6" customFormat="1" x14ac:dyDescent="0.4">
      <c r="A1051" s="68" t="s">
        <v>1404</v>
      </c>
      <c r="B1051" s="8" t="s">
        <v>1714</v>
      </c>
      <c r="D1051" s="73">
        <v>15</v>
      </c>
      <c r="E1051" s="66"/>
      <c r="F1051" s="63"/>
      <c r="G1051" s="8"/>
    </row>
    <row r="1052" spans="1:7" s="6" customFormat="1" x14ac:dyDescent="0.4">
      <c r="A1052" s="68" t="s">
        <v>1406</v>
      </c>
      <c r="B1052" s="8" t="s">
        <v>1714</v>
      </c>
      <c r="D1052" s="73">
        <v>80</v>
      </c>
      <c r="E1052" s="66"/>
      <c r="F1052" s="63"/>
      <c r="G1052" s="8"/>
    </row>
    <row r="1053" spans="1:7" s="6" customFormat="1" x14ac:dyDescent="0.4">
      <c r="A1053" s="68" t="s">
        <v>1531</v>
      </c>
      <c r="B1053" s="69" t="s">
        <v>1714</v>
      </c>
      <c r="D1053" s="73">
        <v>150</v>
      </c>
      <c r="E1053" s="66"/>
      <c r="F1053" s="63">
        <v>170</v>
      </c>
      <c r="G1053" s="8"/>
    </row>
    <row r="1054" spans="1:7" s="6" customFormat="1" x14ac:dyDescent="0.4">
      <c r="A1054" s="68" t="s">
        <v>1532</v>
      </c>
      <c r="B1054" s="8" t="s">
        <v>1714</v>
      </c>
      <c r="C1054" s="6" t="s">
        <v>1712</v>
      </c>
      <c r="D1054" s="73">
        <v>25</v>
      </c>
      <c r="E1054" s="66"/>
      <c r="F1054" s="63"/>
      <c r="G1054" s="8"/>
    </row>
    <row r="1055" spans="1:7" s="6" customFormat="1" x14ac:dyDescent="0.4">
      <c r="A1055" s="68" t="s">
        <v>1534</v>
      </c>
      <c r="B1055" s="8" t="s">
        <v>1714</v>
      </c>
      <c r="C1055" s="6" t="s">
        <v>1713</v>
      </c>
      <c r="D1055" s="73">
        <v>22</v>
      </c>
      <c r="E1055" s="66"/>
      <c r="F1055" s="63">
        <v>22</v>
      </c>
      <c r="G1055" s="8"/>
    </row>
    <row r="1056" spans="1:7" s="6" customFormat="1" x14ac:dyDescent="0.4">
      <c r="A1056" s="68" t="s">
        <v>1536</v>
      </c>
      <c r="B1056" s="8" t="s">
        <v>1714</v>
      </c>
      <c r="D1056" s="73">
        <v>15</v>
      </c>
      <c r="E1056" s="66"/>
      <c r="F1056" s="63"/>
      <c r="G1056" s="8"/>
    </row>
    <row r="1057" spans="1:7" s="6" customFormat="1" x14ac:dyDescent="0.4">
      <c r="A1057" s="68" t="s">
        <v>1294</v>
      </c>
      <c r="B1057" s="8" t="s">
        <v>1715</v>
      </c>
      <c r="D1057" s="73">
        <v>20</v>
      </c>
      <c r="E1057" s="66"/>
      <c r="F1057" s="63"/>
      <c r="G1057" s="8"/>
    </row>
    <row r="1058" spans="1:7" s="6" customFormat="1" x14ac:dyDescent="0.4">
      <c r="A1058" s="68" t="s">
        <v>1539</v>
      </c>
      <c r="B1058" s="8" t="s">
        <v>1715</v>
      </c>
      <c r="D1058" s="73">
        <v>15</v>
      </c>
      <c r="E1058" s="66"/>
      <c r="F1058" s="63"/>
      <c r="G1058" s="8"/>
    </row>
    <row r="1059" spans="1:7" s="6" customFormat="1" x14ac:dyDescent="0.4">
      <c r="A1059" s="68" t="s">
        <v>1370</v>
      </c>
      <c r="B1059" s="8" t="s">
        <v>1715</v>
      </c>
      <c r="D1059" s="73">
        <v>20</v>
      </c>
      <c r="E1059" s="66"/>
      <c r="F1059" s="63"/>
      <c r="G1059" s="8"/>
    </row>
    <row r="1060" spans="1:7" s="6" customFormat="1" x14ac:dyDescent="0.4">
      <c r="A1060" s="68" t="s">
        <v>1176</v>
      </c>
      <c r="B1060" s="8" t="s">
        <v>1715</v>
      </c>
      <c r="D1060" s="73">
        <v>35</v>
      </c>
      <c r="E1060" s="66"/>
      <c r="F1060" s="63"/>
      <c r="G1060" s="8"/>
    </row>
    <row r="1061" spans="1:7" s="6" customFormat="1" x14ac:dyDescent="0.4">
      <c r="A1061" s="68" t="s">
        <v>1372</v>
      </c>
      <c r="B1061" s="8" t="s">
        <v>1715</v>
      </c>
      <c r="D1061" s="73">
        <v>20</v>
      </c>
      <c r="E1061" s="66"/>
      <c r="F1061" s="63"/>
      <c r="G1061" s="8"/>
    </row>
    <row r="1062" spans="1:7" s="6" customFormat="1" x14ac:dyDescent="0.4">
      <c r="A1062" s="68" t="s">
        <v>1272</v>
      </c>
      <c r="B1062" s="8" t="s">
        <v>1716</v>
      </c>
      <c r="D1062" s="73">
        <v>55</v>
      </c>
      <c r="E1062" s="66"/>
      <c r="F1062" s="63"/>
      <c r="G1062" s="8"/>
    </row>
    <row r="1063" spans="1:7" s="6" customFormat="1" x14ac:dyDescent="0.4">
      <c r="A1063" s="68" t="s">
        <v>1538</v>
      </c>
      <c r="B1063" s="8" t="s">
        <v>1716</v>
      </c>
      <c r="D1063" s="73">
        <v>7</v>
      </c>
      <c r="E1063" s="66"/>
      <c r="F1063" s="63"/>
      <c r="G1063" s="8"/>
    </row>
    <row r="1064" spans="1:7" s="6" customFormat="1" x14ac:dyDescent="0.4">
      <c r="A1064" s="68" t="s">
        <v>1321</v>
      </c>
      <c r="B1064" s="8" t="s">
        <v>1716</v>
      </c>
      <c r="D1064" s="73">
        <v>15</v>
      </c>
      <c r="E1064" s="66"/>
      <c r="F1064" s="63"/>
      <c r="G1064" s="8"/>
    </row>
    <row r="1065" spans="1:7" s="6" customFormat="1" x14ac:dyDescent="0.4">
      <c r="A1065" s="68" t="s">
        <v>1537</v>
      </c>
      <c r="B1065" s="8" t="s">
        <v>1716</v>
      </c>
      <c r="D1065" s="73">
        <v>85</v>
      </c>
      <c r="E1065" s="66"/>
      <c r="F1065" s="63"/>
      <c r="G1065" s="8"/>
    </row>
    <row r="1066" spans="1:7" s="6" customFormat="1" x14ac:dyDescent="0.4">
      <c r="A1066" s="68" t="s">
        <v>1210</v>
      </c>
      <c r="B1066" s="8" t="s">
        <v>1717</v>
      </c>
      <c r="D1066" s="73">
        <v>30</v>
      </c>
      <c r="E1066" s="66"/>
      <c r="F1066" s="63"/>
      <c r="G1066" s="8"/>
    </row>
    <row r="1067" spans="1:7" s="6" customFormat="1" x14ac:dyDescent="0.4">
      <c r="A1067" s="68" t="s">
        <v>1288</v>
      </c>
      <c r="B1067" s="8" t="s">
        <v>1717</v>
      </c>
      <c r="D1067" s="73">
        <v>150</v>
      </c>
      <c r="E1067" s="66"/>
      <c r="F1067" s="63"/>
      <c r="G1067" s="8"/>
    </row>
    <row r="1068" spans="1:7" s="6" customFormat="1" x14ac:dyDescent="0.4">
      <c r="A1068" s="68" t="s">
        <v>1290</v>
      </c>
      <c r="B1068" s="8" t="s">
        <v>1717</v>
      </c>
      <c r="D1068" s="73">
        <v>60</v>
      </c>
      <c r="E1068" s="66"/>
      <c r="F1068" s="63"/>
      <c r="G1068" s="8"/>
    </row>
    <row r="1069" spans="1:7" s="6" customFormat="1" x14ac:dyDescent="0.4">
      <c r="A1069" s="68" t="s">
        <v>1307</v>
      </c>
      <c r="B1069" s="8" t="s">
        <v>1717</v>
      </c>
      <c r="D1069" s="73">
        <v>20</v>
      </c>
      <c r="E1069" s="66"/>
      <c r="F1069" s="63"/>
      <c r="G1069" s="8"/>
    </row>
    <row r="1070" spans="1:7" s="6" customFormat="1" x14ac:dyDescent="0.4">
      <c r="A1070" s="68" t="s">
        <v>1410</v>
      </c>
      <c r="B1070" s="8" t="s">
        <v>1717</v>
      </c>
      <c r="D1070" s="73">
        <v>15</v>
      </c>
      <c r="E1070" s="66"/>
      <c r="F1070" s="63"/>
      <c r="G1070" s="8"/>
    </row>
    <row r="1071" spans="1:7" s="6" customFormat="1" x14ac:dyDescent="0.4">
      <c r="A1071" s="68" t="s">
        <v>1425</v>
      </c>
      <c r="B1071" s="69" t="s">
        <v>1717</v>
      </c>
      <c r="D1071" s="73">
        <v>30</v>
      </c>
      <c r="E1071" s="66"/>
      <c r="F1071" s="63"/>
      <c r="G1071" s="8"/>
    </row>
    <row r="1072" spans="1:7" s="6" customFormat="1" x14ac:dyDescent="0.4">
      <c r="A1072" s="68" t="s">
        <v>1173</v>
      </c>
      <c r="B1072" s="8" t="s">
        <v>1718</v>
      </c>
      <c r="D1072" s="73">
        <v>25</v>
      </c>
      <c r="E1072" s="66"/>
      <c r="F1072" s="63">
        <v>50</v>
      </c>
      <c r="G1072" s="8"/>
    </row>
    <row r="1073" spans="1:7" s="6" customFormat="1" x14ac:dyDescent="0.4">
      <c r="A1073" s="68" t="s">
        <v>1178</v>
      </c>
      <c r="B1073" s="8" t="s">
        <v>1718</v>
      </c>
      <c r="D1073" s="73">
        <v>105</v>
      </c>
      <c r="E1073" s="66"/>
      <c r="F1073" s="63"/>
      <c r="G1073" s="8"/>
    </row>
    <row r="1074" spans="1:7" s="6" customFormat="1" x14ac:dyDescent="0.4">
      <c r="A1074" s="68" t="s">
        <v>1179</v>
      </c>
      <c r="B1074" s="8" t="s">
        <v>1718</v>
      </c>
      <c r="D1074" s="73">
        <v>45</v>
      </c>
      <c r="E1074" s="66"/>
      <c r="F1074" s="63"/>
      <c r="G1074" s="8"/>
    </row>
    <row r="1075" spans="1:7" s="6" customFormat="1" x14ac:dyDescent="0.4">
      <c r="A1075" s="68" t="s">
        <v>1545</v>
      </c>
      <c r="B1075" s="8" t="s">
        <v>1718</v>
      </c>
      <c r="D1075" s="73">
        <v>45</v>
      </c>
      <c r="E1075" s="66"/>
      <c r="F1075" s="63"/>
      <c r="G1075" s="8"/>
    </row>
    <row r="1076" spans="1:7" s="6" customFormat="1" x14ac:dyDescent="0.4">
      <c r="A1076" s="68" t="s">
        <v>1340</v>
      </c>
      <c r="B1076" s="8" t="s">
        <v>1718</v>
      </c>
      <c r="D1076" s="73">
        <v>95</v>
      </c>
      <c r="E1076" s="66"/>
      <c r="F1076" s="63">
        <f>95/10.3*16</f>
        <v>147.57281553398056</v>
      </c>
      <c r="G1076" s="8"/>
    </row>
    <row r="1077" spans="1:7" s="6" customFormat="1" x14ac:dyDescent="0.4">
      <c r="A1077" s="68" t="s">
        <v>1246</v>
      </c>
      <c r="B1077" s="8" t="s">
        <v>1719</v>
      </c>
      <c r="D1077" s="73">
        <v>105</v>
      </c>
      <c r="E1077" s="66"/>
      <c r="F1077" s="63"/>
      <c r="G1077" s="8"/>
    </row>
    <row r="1078" spans="1:7" s="6" customFormat="1" x14ac:dyDescent="0.4">
      <c r="A1078" s="68" t="s">
        <v>1247</v>
      </c>
      <c r="B1078" s="8" t="s">
        <v>1719</v>
      </c>
      <c r="D1078" s="73">
        <v>80</v>
      </c>
      <c r="E1078" s="66"/>
      <c r="F1078" s="63"/>
      <c r="G1078" s="8"/>
    </row>
    <row r="1079" spans="1:7" s="6" customFormat="1" x14ac:dyDescent="0.4">
      <c r="A1079" s="68" t="s">
        <v>1248</v>
      </c>
      <c r="B1079" s="8" t="s">
        <v>1719</v>
      </c>
      <c r="D1079" s="73">
        <v>45</v>
      </c>
      <c r="E1079" s="66"/>
      <c r="F1079" s="63"/>
      <c r="G1079" s="8"/>
    </row>
    <row r="1080" spans="1:7" s="6" customFormat="1" x14ac:dyDescent="0.4">
      <c r="A1080" s="68" t="s">
        <v>1252</v>
      </c>
      <c r="B1080" s="8" t="s">
        <v>1719</v>
      </c>
      <c r="D1080" s="73">
        <v>55</v>
      </c>
      <c r="E1080" s="66"/>
      <c r="F1080" s="63"/>
      <c r="G1080" s="8"/>
    </row>
    <row r="1081" spans="1:7" s="6" customFormat="1" x14ac:dyDescent="0.4">
      <c r="A1081" s="68" t="s">
        <v>1541</v>
      </c>
      <c r="B1081" s="8" t="s">
        <v>1719</v>
      </c>
      <c r="D1081" s="73">
        <v>75</v>
      </c>
      <c r="E1081" s="66"/>
      <c r="F1081" s="63"/>
      <c r="G1081" s="8"/>
    </row>
    <row r="1082" spans="1:7" s="6" customFormat="1" x14ac:dyDescent="0.4">
      <c r="A1082" s="68" t="s">
        <v>1543</v>
      </c>
      <c r="B1082" s="8" t="s">
        <v>1719</v>
      </c>
      <c r="D1082" s="73">
        <v>70</v>
      </c>
      <c r="E1082" s="66"/>
      <c r="F1082" s="63"/>
      <c r="G1082" s="8"/>
    </row>
    <row r="1083" spans="1:7" s="6" customFormat="1" x14ac:dyDescent="0.4">
      <c r="A1083" s="68" t="s">
        <v>1720</v>
      </c>
      <c r="B1083" s="8" t="s">
        <v>1721</v>
      </c>
      <c r="C1083" s="6" t="s">
        <v>1659</v>
      </c>
      <c r="D1083" s="73">
        <v>95</v>
      </c>
      <c r="E1083" s="66"/>
      <c r="F1083" s="63"/>
      <c r="G1083" s="8"/>
    </row>
    <row r="1084" spans="1:7" s="6" customFormat="1" x14ac:dyDescent="0.4">
      <c r="A1084" s="68" t="s">
        <v>1551</v>
      </c>
      <c r="B1084" s="8" t="s">
        <v>1721</v>
      </c>
      <c r="D1084" s="73">
        <v>55</v>
      </c>
      <c r="E1084" s="66"/>
      <c r="F1084" s="63"/>
      <c r="G1084" s="8"/>
    </row>
    <row r="1085" spans="1:7" s="6" customFormat="1" x14ac:dyDescent="0.4">
      <c r="A1085" s="68" t="s">
        <v>1722</v>
      </c>
      <c r="B1085" s="8" t="s">
        <v>1721</v>
      </c>
      <c r="D1085" s="73">
        <v>95</v>
      </c>
      <c r="E1085" s="66"/>
      <c r="F1085" s="63"/>
      <c r="G1085" s="8"/>
    </row>
    <row r="1086" spans="1:7" s="6" customFormat="1" x14ac:dyDescent="0.4">
      <c r="A1086" s="68" t="s">
        <v>1726</v>
      </c>
      <c r="B1086" s="8" t="s">
        <v>1723</v>
      </c>
      <c r="D1086" s="73">
        <v>150</v>
      </c>
      <c r="E1086" s="66"/>
      <c r="F1086" s="63">
        <v>160</v>
      </c>
      <c r="G1086" s="8"/>
    </row>
    <row r="1087" spans="1:7" s="6" customFormat="1" x14ac:dyDescent="0.4">
      <c r="A1087" s="68" t="s">
        <v>1788</v>
      </c>
      <c r="B1087" s="8" t="s">
        <v>1723</v>
      </c>
      <c r="D1087" s="73">
        <v>115</v>
      </c>
      <c r="E1087" s="66"/>
      <c r="F1087" s="63">
        <v>115</v>
      </c>
      <c r="G1087" s="8"/>
    </row>
    <row r="1088" spans="1:7" s="6" customFormat="1" x14ac:dyDescent="0.4">
      <c r="A1088" s="68" t="s">
        <v>1724</v>
      </c>
      <c r="B1088" s="8" t="s">
        <v>1723</v>
      </c>
      <c r="D1088" s="73">
        <v>140</v>
      </c>
      <c r="E1088" s="66"/>
      <c r="F1088" s="63">
        <v>140</v>
      </c>
      <c r="G1088" s="8"/>
    </row>
    <row r="1089" spans="1:7" s="6" customFormat="1" x14ac:dyDescent="0.4">
      <c r="A1089" s="68" t="s">
        <v>1826</v>
      </c>
      <c r="B1089" s="72" t="s">
        <v>1723</v>
      </c>
      <c r="D1089" s="73">
        <v>45</v>
      </c>
      <c r="E1089" s="66"/>
      <c r="F1089" s="63">
        <v>85</v>
      </c>
      <c r="G1089" s="8"/>
    </row>
    <row r="1090" spans="1:7" s="6" customFormat="1" x14ac:dyDescent="0.4">
      <c r="A1090" s="68" t="s">
        <v>1725</v>
      </c>
      <c r="B1090" s="8" t="s">
        <v>1723</v>
      </c>
      <c r="D1090" s="73">
        <v>95</v>
      </c>
      <c r="E1090" s="66"/>
      <c r="F1090" s="63">
        <v>95</v>
      </c>
      <c r="G1090" s="8"/>
    </row>
    <row r="1091" spans="1:7" s="6" customFormat="1" x14ac:dyDescent="0.4">
      <c r="A1091" s="68" t="s">
        <v>1730</v>
      </c>
      <c r="B1091" s="8" t="s">
        <v>1727</v>
      </c>
      <c r="D1091" s="73">
        <v>7</v>
      </c>
      <c r="E1091" s="66"/>
      <c r="F1091" s="63"/>
      <c r="G1091" s="8"/>
    </row>
    <row r="1092" spans="1:7" s="6" customFormat="1" x14ac:dyDescent="0.4">
      <c r="A1092" s="68" t="s">
        <v>1729</v>
      </c>
      <c r="B1092" s="69" t="s">
        <v>1727</v>
      </c>
      <c r="D1092" s="73">
        <v>35</v>
      </c>
      <c r="E1092" s="66"/>
      <c r="F1092" s="63"/>
      <c r="G1092" s="8"/>
    </row>
    <row r="1093" spans="1:7" s="6" customFormat="1" x14ac:dyDescent="0.4">
      <c r="A1093" s="68" t="s">
        <v>1194</v>
      </c>
      <c r="B1093" s="8" t="s">
        <v>1727</v>
      </c>
      <c r="D1093" s="73">
        <v>5</v>
      </c>
      <c r="E1093" s="66"/>
      <c r="F1093" s="63"/>
      <c r="G1093" s="8"/>
    </row>
    <row r="1094" spans="1:7" s="6" customFormat="1" x14ac:dyDescent="0.4">
      <c r="A1094" s="68" t="s">
        <v>1196</v>
      </c>
      <c r="B1094" s="8" t="s">
        <v>1727</v>
      </c>
      <c r="D1094" s="73">
        <v>7</v>
      </c>
      <c r="E1094" s="66"/>
      <c r="F1094" s="63"/>
      <c r="G1094" s="8"/>
    </row>
    <row r="1095" spans="1:7" s="6" customFormat="1" x14ac:dyDescent="0.4">
      <c r="A1095" s="68" t="s">
        <v>1728</v>
      </c>
      <c r="B1095" s="8" t="s">
        <v>1727</v>
      </c>
      <c r="D1095" s="73">
        <v>75</v>
      </c>
      <c r="E1095" s="66"/>
      <c r="F1095" s="63"/>
      <c r="G1095" s="8"/>
    </row>
    <row r="1096" spans="1:7" s="6" customFormat="1" x14ac:dyDescent="0.4">
      <c r="A1096" s="68" t="s">
        <v>1353</v>
      </c>
      <c r="B1096" s="8" t="s">
        <v>1727</v>
      </c>
      <c r="D1096" s="73">
        <v>10</v>
      </c>
      <c r="E1096" s="66"/>
      <c r="F1096" s="63"/>
      <c r="G1096" s="8"/>
    </row>
    <row r="1097" spans="1:7" s="6" customFormat="1" x14ac:dyDescent="0.4">
      <c r="A1097" s="68" t="s">
        <v>1277</v>
      </c>
      <c r="B1097" s="8" t="s">
        <v>1731</v>
      </c>
      <c r="D1097" s="73">
        <v>30</v>
      </c>
      <c r="E1097" s="66"/>
      <c r="F1097" s="63"/>
      <c r="G1097" s="8"/>
    </row>
    <row r="1098" spans="1:7" s="6" customFormat="1" x14ac:dyDescent="0.4">
      <c r="A1098" s="68" t="s">
        <v>1306</v>
      </c>
      <c r="B1098" s="8" t="s">
        <v>1731</v>
      </c>
      <c r="D1098" s="73">
        <v>15</v>
      </c>
      <c r="E1098" s="66"/>
      <c r="F1098" s="63"/>
      <c r="G1098" s="8"/>
    </row>
    <row r="1099" spans="1:7" s="6" customFormat="1" x14ac:dyDescent="0.4">
      <c r="A1099" s="68" t="s">
        <v>1643</v>
      </c>
      <c r="B1099" s="8" t="s">
        <v>1731</v>
      </c>
      <c r="D1099" s="73">
        <v>15</v>
      </c>
      <c r="E1099" s="66"/>
      <c r="F1099" s="63"/>
      <c r="G1099" s="8"/>
    </row>
    <row r="1100" spans="1:7" s="6" customFormat="1" x14ac:dyDescent="0.4">
      <c r="A1100" s="68" t="s">
        <v>1230</v>
      </c>
      <c r="B1100" s="8" t="s">
        <v>1732</v>
      </c>
      <c r="D1100" s="73">
        <v>30</v>
      </c>
      <c r="E1100" s="66"/>
      <c r="F1100" s="63"/>
      <c r="G1100" s="8"/>
    </row>
    <row r="1101" spans="1:7" s="6" customFormat="1" x14ac:dyDescent="0.4">
      <c r="A1101" s="68" t="s">
        <v>1413</v>
      </c>
      <c r="B1101" s="8" t="s">
        <v>1732</v>
      </c>
      <c r="D1101" s="73">
        <v>15</v>
      </c>
      <c r="E1101" s="66"/>
      <c r="F1101" s="63"/>
      <c r="G1101" s="8"/>
    </row>
    <row r="1102" spans="1:7" s="6" customFormat="1" x14ac:dyDescent="0.4">
      <c r="A1102" s="68" t="s">
        <v>1650</v>
      </c>
      <c r="B1102" s="8" t="s">
        <v>1732</v>
      </c>
      <c r="D1102" s="73">
        <v>10</v>
      </c>
      <c r="E1102" s="66"/>
      <c r="F1102" s="63"/>
      <c r="G1102" s="8"/>
    </row>
    <row r="1103" spans="1:7" s="6" customFormat="1" x14ac:dyDescent="0.4">
      <c r="A1103" s="68" t="s">
        <v>1432</v>
      </c>
      <c r="B1103" s="8" t="s">
        <v>1732</v>
      </c>
      <c r="D1103" s="73">
        <v>15</v>
      </c>
      <c r="E1103" s="66"/>
      <c r="F1103" s="63"/>
      <c r="G1103" s="8"/>
    </row>
    <row r="1104" spans="1:7" s="6" customFormat="1" x14ac:dyDescent="0.4">
      <c r="A1104" s="68" t="s">
        <v>1433</v>
      </c>
      <c r="B1104" s="8" t="s">
        <v>1732</v>
      </c>
      <c r="D1104" s="73">
        <v>15</v>
      </c>
      <c r="E1104" s="66"/>
      <c r="F1104" s="63"/>
      <c r="G1104" s="8"/>
    </row>
    <row r="1105" spans="1:7" s="6" customFormat="1" x14ac:dyDescent="0.4">
      <c r="A1105" s="68" t="s">
        <v>1255</v>
      </c>
      <c r="B1105" s="8" t="s">
        <v>1733</v>
      </c>
      <c r="D1105" s="73">
        <v>35</v>
      </c>
      <c r="E1105" s="66"/>
      <c r="F1105" s="63"/>
      <c r="G1105" s="8"/>
    </row>
    <row r="1106" spans="1:7" s="6" customFormat="1" x14ac:dyDescent="0.4">
      <c r="A1106" s="68" t="s">
        <v>1402</v>
      </c>
      <c r="B1106" s="8" t="s">
        <v>1733</v>
      </c>
      <c r="D1106" s="73">
        <v>10</v>
      </c>
      <c r="E1106" s="66"/>
      <c r="F1106" s="63"/>
      <c r="G1106" s="8"/>
    </row>
    <row r="1107" spans="1:7" s="6" customFormat="1" x14ac:dyDescent="0.4">
      <c r="A1107" s="68" t="s">
        <v>1417</v>
      </c>
      <c r="B1107" s="8" t="s">
        <v>1733</v>
      </c>
      <c r="D1107" s="73">
        <v>12</v>
      </c>
      <c r="E1107" s="66"/>
      <c r="F1107" s="63"/>
      <c r="G1107" s="8"/>
    </row>
    <row r="1108" spans="1:7" s="6" customFormat="1" x14ac:dyDescent="0.4">
      <c r="A1108" s="68" t="s">
        <v>1428</v>
      </c>
      <c r="B1108" s="8" t="s">
        <v>1733</v>
      </c>
      <c r="D1108" s="73">
        <v>35</v>
      </c>
      <c r="E1108" s="66"/>
      <c r="F1108" s="63"/>
      <c r="G1108" s="8"/>
    </row>
    <row r="1109" spans="1:7" s="6" customFormat="1" x14ac:dyDescent="0.4">
      <c r="A1109" s="68" t="s">
        <v>1560</v>
      </c>
      <c r="B1109" s="8" t="s">
        <v>1733</v>
      </c>
      <c r="D1109" s="73">
        <v>25</v>
      </c>
      <c r="E1109" s="66"/>
      <c r="F1109" s="63"/>
      <c r="G1109" s="8"/>
    </row>
    <row r="1110" spans="1:7" s="6" customFormat="1" x14ac:dyDescent="0.4">
      <c r="A1110" s="68" t="s">
        <v>1469</v>
      </c>
      <c r="B1110" s="8" t="s">
        <v>1733</v>
      </c>
      <c r="D1110" s="73">
        <v>35</v>
      </c>
      <c r="E1110" s="66"/>
      <c r="F1110" s="63"/>
      <c r="G1110" s="8"/>
    </row>
    <row r="1111" spans="1:7" s="6" customFormat="1" x14ac:dyDescent="0.4">
      <c r="A1111" s="68" t="s">
        <v>1734</v>
      </c>
      <c r="B1111" s="8" t="s">
        <v>1735</v>
      </c>
      <c r="D1111" s="73">
        <v>35</v>
      </c>
      <c r="E1111" s="66"/>
      <c r="F1111" s="63"/>
      <c r="G1111" s="8"/>
    </row>
    <row r="1112" spans="1:7" s="6" customFormat="1" x14ac:dyDescent="0.4">
      <c r="A1112" s="68" t="s">
        <v>1736</v>
      </c>
      <c r="B1112" s="8" t="s">
        <v>1735</v>
      </c>
      <c r="D1112" s="73">
        <v>25</v>
      </c>
      <c r="E1112" s="66"/>
      <c r="F1112" s="63"/>
      <c r="G1112" s="8"/>
    </row>
    <row r="1113" spans="1:7" s="6" customFormat="1" x14ac:dyDescent="0.4">
      <c r="A1113" s="68" t="s">
        <v>1737</v>
      </c>
      <c r="B1113" s="8" t="s">
        <v>1735</v>
      </c>
      <c r="D1113" s="73">
        <v>20</v>
      </c>
      <c r="E1113" s="66"/>
      <c r="F1113" s="63"/>
      <c r="G1113" s="8"/>
    </row>
    <row r="1114" spans="1:7" s="6" customFormat="1" x14ac:dyDescent="0.4">
      <c r="A1114" s="68" t="s">
        <v>1398</v>
      </c>
      <c r="B1114" s="8" t="s">
        <v>1735</v>
      </c>
      <c r="D1114" s="73">
        <v>50</v>
      </c>
      <c r="E1114" s="66"/>
      <c r="F1114" s="63"/>
      <c r="G1114" s="8"/>
    </row>
    <row r="1115" spans="1:7" s="6" customFormat="1" x14ac:dyDescent="0.4">
      <c r="A1115" s="68" t="s">
        <v>1738</v>
      </c>
      <c r="B1115" s="8" t="s">
        <v>1735</v>
      </c>
      <c r="D1115" s="73">
        <v>15</v>
      </c>
      <c r="E1115" s="66"/>
      <c r="F1115" s="63"/>
      <c r="G1115" s="8"/>
    </row>
    <row r="1116" spans="1:7" s="6" customFormat="1" x14ac:dyDescent="0.4">
      <c r="A1116" s="68" t="s">
        <v>1237</v>
      </c>
      <c r="B1116" s="8" t="s">
        <v>1735</v>
      </c>
      <c r="D1116" s="73">
        <v>30</v>
      </c>
      <c r="E1116" s="66"/>
      <c r="F1116" s="63"/>
      <c r="G1116" s="8"/>
    </row>
    <row r="1117" spans="1:7" s="6" customFormat="1" x14ac:dyDescent="0.4">
      <c r="A1117" s="68" t="s">
        <v>1784</v>
      </c>
      <c r="B1117" s="8" t="s">
        <v>1740</v>
      </c>
      <c r="D1117" s="73">
        <v>35</v>
      </c>
      <c r="E1117" s="66"/>
      <c r="F1117" s="63"/>
      <c r="G1117" s="8"/>
    </row>
    <row r="1118" spans="1:7" s="6" customFormat="1" x14ac:dyDescent="0.4">
      <c r="A1118" s="68" t="s">
        <v>1806</v>
      </c>
      <c r="B1118" s="8" t="s">
        <v>1740</v>
      </c>
      <c r="D1118" s="73">
        <v>55</v>
      </c>
      <c r="E1118" s="66"/>
      <c r="F1118" s="63"/>
      <c r="G1118" s="8"/>
    </row>
    <row r="1119" spans="1:7" s="6" customFormat="1" x14ac:dyDescent="0.4">
      <c r="A1119" s="68" t="s">
        <v>1559</v>
      </c>
      <c r="B1119" s="8" t="s">
        <v>1740</v>
      </c>
      <c r="D1119" s="73">
        <v>30</v>
      </c>
      <c r="E1119" s="66"/>
      <c r="F1119" s="63"/>
      <c r="G1119" s="8"/>
    </row>
    <row r="1120" spans="1:7" s="6" customFormat="1" x14ac:dyDescent="0.4">
      <c r="A1120" s="68" t="s">
        <v>1561</v>
      </c>
      <c r="B1120" s="8" t="s">
        <v>1739</v>
      </c>
      <c r="D1120" s="73">
        <v>85</v>
      </c>
      <c r="E1120" s="66"/>
      <c r="F1120" s="63"/>
      <c r="G1120" s="8"/>
    </row>
    <row r="1121" spans="1:7" s="6" customFormat="1" x14ac:dyDescent="0.4">
      <c r="A1121" s="68" t="s">
        <v>1562</v>
      </c>
      <c r="B1121" s="8" t="s">
        <v>1739</v>
      </c>
      <c r="D1121" s="73">
        <v>45</v>
      </c>
      <c r="E1121" s="66"/>
      <c r="F1121" s="63"/>
      <c r="G1121" s="8"/>
    </row>
    <row r="1122" spans="1:7" s="6" customFormat="1" x14ac:dyDescent="0.4">
      <c r="A1122" s="68" t="s">
        <v>1563</v>
      </c>
      <c r="B1122" s="8" t="s">
        <v>1739</v>
      </c>
      <c r="D1122" s="73">
        <v>350</v>
      </c>
      <c r="E1122" s="66"/>
      <c r="F1122" s="63"/>
      <c r="G1122" s="8"/>
    </row>
    <row r="1123" spans="1:7" s="6" customFormat="1" x14ac:dyDescent="0.4">
      <c r="A1123" s="68" t="s">
        <v>1741</v>
      </c>
      <c r="B1123" s="8" t="s">
        <v>1744</v>
      </c>
      <c r="D1123" s="73">
        <v>25</v>
      </c>
      <c r="E1123" s="66"/>
      <c r="F1123" s="63"/>
      <c r="G1123" s="8"/>
    </row>
    <row r="1124" spans="1:7" s="6" customFormat="1" x14ac:dyDescent="0.4">
      <c r="A1124" s="68" t="s">
        <v>1742</v>
      </c>
      <c r="B1124" s="8" t="s">
        <v>1744</v>
      </c>
      <c r="D1124" s="73">
        <v>30</v>
      </c>
      <c r="E1124" s="66"/>
      <c r="F1124" s="63"/>
      <c r="G1124" s="8"/>
    </row>
    <row r="1125" spans="1:7" s="6" customFormat="1" x14ac:dyDescent="0.4">
      <c r="A1125" s="68" t="s">
        <v>1743</v>
      </c>
      <c r="B1125" s="8" t="s">
        <v>1744</v>
      </c>
      <c r="D1125" s="73">
        <v>30</v>
      </c>
      <c r="E1125" s="66"/>
      <c r="F1125" s="63"/>
      <c r="G1125" s="8"/>
    </row>
    <row r="1126" spans="1:7" s="6" customFormat="1" x14ac:dyDescent="0.4">
      <c r="A1126" s="68" t="s">
        <v>1746</v>
      </c>
      <c r="B1126" s="8" t="s">
        <v>1745</v>
      </c>
      <c r="D1126" s="73">
        <v>40</v>
      </c>
      <c r="E1126" s="66"/>
      <c r="F1126" s="63"/>
      <c r="G1126" s="8"/>
    </row>
    <row r="1127" spans="1:7" s="6" customFormat="1" x14ac:dyDescent="0.4">
      <c r="A1127" s="68" t="s">
        <v>1747</v>
      </c>
      <c r="B1127" s="8" t="s">
        <v>1745</v>
      </c>
      <c r="D1127" s="73">
        <v>25</v>
      </c>
      <c r="E1127" s="66"/>
      <c r="F1127" s="63"/>
      <c r="G1127" s="8"/>
    </row>
    <row r="1128" spans="1:7" s="6" customFormat="1" x14ac:dyDescent="0.4">
      <c r="A1128" s="68" t="s">
        <v>1748</v>
      </c>
      <c r="B1128" s="8" t="s">
        <v>1745</v>
      </c>
      <c r="D1128" s="73">
        <v>45</v>
      </c>
      <c r="E1128" s="66"/>
      <c r="F1128" s="63"/>
      <c r="G1128" s="8"/>
    </row>
    <row r="1129" spans="1:7" s="6" customFormat="1" x14ac:dyDescent="0.4">
      <c r="A1129" s="68" t="s">
        <v>1317</v>
      </c>
      <c r="B1129" s="8" t="s">
        <v>1749</v>
      </c>
      <c r="D1129" s="73">
        <v>25</v>
      </c>
      <c r="E1129" s="66"/>
      <c r="F1129" s="63"/>
      <c r="G1129" s="8"/>
    </row>
    <row r="1130" spans="1:7" s="6" customFormat="1" x14ac:dyDescent="0.4">
      <c r="A1130" s="68" t="s">
        <v>1750</v>
      </c>
      <c r="B1130" s="69" t="s">
        <v>1749</v>
      </c>
      <c r="D1130" s="73">
        <v>20</v>
      </c>
      <c r="E1130" s="66"/>
      <c r="F1130" s="63"/>
      <c r="G1130" s="8"/>
    </row>
    <row r="1131" spans="1:7" s="6" customFormat="1" x14ac:dyDescent="0.4">
      <c r="A1131" s="68" t="s">
        <v>1751</v>
      </c>
      <c r="B1131" s="8" t="s">
        <v>1749</v>
      </c>
      <c r="D1131" s="73">
        <v>40</v>
      </c>
      <c r="E1131" s="66"/>
      <c r="F1131" s="63"/>
      <c r="G1131" s="8"/>
    </row>
    <row r="1132" spans="1:7" s="6" customFormat="1" x14ac:dyDescent="0.4">
      <c r="A1132" s="68" t="s">
        <v>1752</v>
      </c>
      <c r="B1132" s="8" t="s">
        <v>1753</v>
      </c>
      <c r="D1132" s="73">
        <v>30</v>
      </c>
      <c r="E1132" s="66"/>
      <c r="F1132" s="63"/>
      <c r="G1132" s="8"/>
    </row>
    <row r="1133" spans="1:7" s="6" customFormat="1" x14ac:dyDescent="0.4">
      <c r="A1133" s="68" t="s">
        <v>1369</v>
      </c>
      <c r="B1133" s="8" t="s">
        <v>1753</v>
      </c>
      <c r="D1133" s="73">
        <v>35</v>
      </c>
      <c r="E1133" s="66"/>
      <c r="F1133" s="63"/>
      <c r="G1133" s="8"/>
    </row>
    <row r="1134" spans="1:7" s="6" customFormat="1" x14ac:dyDescent="0.4">
      <c r="A1134" s="68" t="s">
        <v>1754</v>
      </c>
      <c r="B1134" s="8" t="s">
        <v>1753</v>
      </c>
      <c r="D1134" s="73">
        <v>145</v>
      </c>
      <c r="E1134" s="66"/>
      <c r="F1134" s="63"/>
      <c r="G1134" s="8"/>
    </row>
    <row r="1135" spans="1:7" s="6" customFormat="1" x14ac:dyDescent="0.4">
      <c r="A1135" s="68" t="s">
        <v>1755</v>
      </c>
      <c r="B1135" s="8" t="s">
        <v>1753</v>
      </c>
      <c r="D1135" s="73">
        <v>40</v>
      </c>
      <c r="E1135" s="66"/>
      <c r="F1135" s="63"/>
      <c r="G1135" s="8"/>
    </row>
    <row r="1136" spans="1:7" s="6" customFormat="1" x14ac:dyDescent="0.4">
      <c r="A1136" s="68" t="s">
        <v>1756</v>
      </c>
      <c r="B1136" s="8" t="s">
        <v>1753</v>
      </c>
      <c r="D1136" s="73">
        <v>50</v>
      </c>
      <c r="E1136" s="66"/>
      <c r="F1136" s="63"/>
      <c r="G1136" s="8"/>
    </row>
    <row r="1137" spans="1:7" s="6" customFormat="1" x14ac:dyDescent="0.4">
      <c r="A1137" s="68" t="s">
        <v>1757</v>
      </c>
      <c r="B1137" s="8" t="s">
        <v>1758</v>
      </c>
      <c r="D1137" s="73">
        <v>12</v>
      </c>
      <c r="E1137" s="66"/>
      <c r="F1137" s="63"/>
      <c r="G1137" s="8"/>
    </row>
    <row r="1138" spans="1:7" s="6" customFormat="1" x14ac:dyDescent="0.4">
      <c r="A1138" s="68" t="s">
        <v>1759</v>
      </c>
      <c r="B1138" s="8" t="s">
        <v>1758</v>
      </c>
      <c r="D1138" s="73">
        <v>45</v>
      </c>
      <c r="E1138" s="66"/>
      <c r="F1138" s="63"/>
      <c r="G1138" s="8"/>
    </row>
    <row r="1139" spans="1:7" s="6" customFormat="1" x14ac:dyDescent="0.4">
      <c r="A1139" s="68" t="s">
        <v>1760</v>
      </c>
      <c r="B1139" s="8" t="s">
        <v>1758</v>
      </c>
      <c r="D1139" s="73">
        <v>10</v>
      </c>
      <c r="E1139" s="66"/>
      <c r="F1139" s="63"/>
      <c r="G1139" s="8"/>
    </row>
    <row r="1140" spans="1:7" s="6" customFormat="1" x14ac:dyDescent="0.4">
      <c r="A1140" s="68" t="s">
        <v>1761</v>
      </c>
      <c r="B1140" s="8" t="s">
        <v>1758</v>
      </c>
      <c r="D1140" s="73">
        <v>20</v>
      </c>
      <c r="E1140" s="66"/>
      <c r="F1140" s="63"/>
      <c r="G1140" s="8"/>
    </row>
    <row r="1141" spans="1:7" s="6" customFormat="1" x14ac:dyDescent="0.4">
      <c r="A1141" s="68" t="s">
        <v>1762</v>
      </c>
      <c r="B1141" s="8" t="s">
        <v>1763</v>
      </c>
      <c r="D1141" s="73">
        <v>75</v>
      </c>
      <c r="E1141" s="66"/>
      <c r="F1141" s="63"/>
      <c r="G1141" s="8"/>
    </row>
    <row r="1142" spans="1:7" s="6" customFormat="1" x14ac:dyDescent="0.4">
      <c r="A1142" s="68" t="s">
        <v>1764</v>
      </c>
      <c r="B1142" s="8" t="s">
        <v>1763</v>
      </c>
      <c r="D1142" s="73">
        <v>25</v>
      </c>
      <c r="E1142" s="66"/>
      <c r="F1142" s="63"/>
      <c r="G1142" s="8"/>
    </row>
    <row r="1143" spans="1:7" s="6" customFormat="1" x14ac:dyDescent="0.4">
      <c r="A1143" s="68" t="s">
        <v>1765</v>
      </c>
      <c r="B1143" s="8" t="s">
        <v>1763</v>
      </c>
      <c r="D1143" s="73">
        <v>25</v>
      </c>
      <c r="E1143" s="66"/>
      <c r="F1143" s="63"/>
      <c r="G1143" s="8"/>
    </row>
    <row r="1144" spans="1:7" s="6" customFormat="1" x14ac:dyDescent="0.4">
      <c r="A1144" s="68" t="s">
        <v>1767</v>
      </c>
      <c r="B1144" s="8" t="s">
        <v>1766</v>
      </c>
      <c r="D1144" s="73">
        <v>40</v>
      </c>
      <c r="E1144" s="66"/>
      <c r="F1144" s="63"/>
      <c r="G1144" s="8"/>
    </row>
    <row r="1145" spans="1:7" s="6" customFormat="1" x14ac:dyDescent="0.4">
      <c r="A1145" s="68" t="s">
        <v>1768</v>
      </c>
      <c r="B1145" s="8" t="s">
        <v>1766</v>
      </c>
      <c r="D1145" s="73">
        <v>30</v>
      </c>
      <c r="E1145" s="66"/>
      <c r="F1145" s="63"/>
      <c r="G1145" s="8"/>
    </row>
    <row r="1146" spans="1:7" s="6" customFormat="1" x14ac:dyDescent="0.4">
      <c r="A1146" s="68" t="s">
        <v>1769</v>
      </c>
      <c r="B1146" s="8" t="s">
        <v>1766</v>
      </c>
      <c r="D1146" s="73">
        <v>25</v>
      </c>
      <c r="E1146" s="66"/>
      <c r="F1146" s="63"/>
      <c r="G1146" s="8"/>
    </row>
    <row r="1147" spans="1:7" s="6" customFormat="1" x14ac:dyDescent="0.4">
      <c r="A1147" s="68" t="s">
        <v>1770</v>
      </c>
      <c r="B1147" s="8" t="s">
        <v>1766</v>
      </c>
      <c r="D1147" s="73">
        <v>10</v>
      </c>
      <c r="E1147" s="66"/>
      <c r="F1147" s="63"/>
      <c r="G1147" s="8"/>
    </row>
    <row r="1148" spans="1:7" s="6" customFormat="1" x14ac:dyDescent="0.4">
      <c r="A1148" s="68" t="s">
        <v>1318</v>
      </c>
      <c r="B1148" s="8" t="s">
        <v>1766</v>
      </c>
      <c r="D1148" s="73">
        <v>245</v>
      </c>
      <c r="E1148" s="66"/>
      <c r="F1148" s="63"/>
      <c r="G1148" s="8"/>
    </row>
    <row r="1149" spans="1:7" s="6" customFormat="1" x14ac:dyDescent="0.4">
      <c r="A1149" s="68" t="s">
        <v>1771</v>
      </c>
      <c r="B1149" s="8" t="s">
        <v>1766</v>
      </c>
      <c r="D1149" s="73">
        <v>90</v>
      </c>
      <c r="E1149" s="66" t="s">
        <v>1772</v>
      </c>
      <c r="F1149" s="63"/>
      <c r="G1149" s="8"/>
    </row>
    <row r="1150" spans="1:7" s="6" customFormat="1" x14ac:dyDescent="0.4">
      <c r="A1150" s="68" t="s">
        <v>1773</v>
      </c>
      <c r="B1150" s="8" t="s">
        <v>1774</v>
      </c>
      <c r="D1150" s="73">
        <v>60</v>
      </c>
      <c r="E1150" s="66"/>
      <c r="F1150" s="63"/>
      <c r="G1150" s="8"/>
    </row>
    <row r="1151" spans="1:7" s="6" customFormat="1" x14ac:dyDescent="0.4">
      <c r="A1151" s="68" t="s">
        <v>1775</v>
      </c>
      <c r="B1151" s="8" t="s">
        <v>1774</v>
      </c>
      <c r="D1151" s="73">
        <v>25</v>
      </c>
      <c r="E1151" s="66"/>
      <c r="F1151" s="63"/>
      <c r="G1151" s="8"/>
    </row>
    <row r="1152" spans="1:7" s="6" customFormat="1" x14ac:dyDescent="0.4">
      <c r="A1152" s="68" t="s">
        <v>1776</v>
      </c>
      <c r="B1152" s="8" t="s">
        <v>1774</v>
      </c>
      <c r="D1152" s="73">
        <v>35</v>
      </c>
      <c r="E1152" s="66"/>
      <c r="F1152" s="63"/>
      <c r="G1152" s="8"/>
    </row>
    <row r="1153" spans="1:7" s="6" customFormat="1" x14ac:dyDescent="0.4">
      <c r="A1153" s="68" t="s">
        <v>1778</v>
      </c>
      <c r="B1153" s="8" t="s">
        <v>1777</v>
      </c>
      <c r="D1153" s="73">
        <v>55</v>
      </c>
      <c r="E1153" s="66"/>
      <c r="F1153" s="63"/>
      <c r="G1153" s="8"/>
    </row>
    <row r="1154" spans="1:7" s="6" customFormat="1" x14ac:dyDescent="0.4">
      <c r="A1154" s="68" t="s">
        <v>1779</v>
      </c>
      <c r="B1154" s="69" t="s">
        <v>1777</v>
      </c>
      <c r="D1154" s="73">
        <v>30</v>
      </c>
      <c r="E1154" s="66"/>
      <c r="F1154" s="63"/>
      <c r="G1154" s="8"/>
    </row>
    <row r="1155" spans="1:7" s="6" customFormat="1" x14ac:dyDescent="0.4">
      <c r="A1155" s="68" t="s">
        <v>1780</v>
      </c>
      <c r="B1155" s="8" t="s">
        <v>1777</v>
      </c>
      <c r="D1155" s="73">
        <v>25</v>
      </c>
      <c r="E1155" s="66"/>
      <c r="F1155" s="63"/>
      <c r="G1155" s="8"/>
    </row>
    <row r="1156" spans="1:7" s="6" customFormat="1" x14ac:dyDescent="0.4">
      <c r="A1156" s="68" t="s">
        <v>1781</v>
      </c>
      <c r="B1156" s="8" t="s">
        <v>1782</v>
      </c>
      <c r="D1156" s="59">
        <v>50</v>
      </c>
      <c r="E1156" s="66"/>
      <c r="F1156" s="63"/>
      <c r="G1156" s="8"/>
    </row>
    <row r="1157" spans="1:7" s="6" customFormat="1" x14ac:dyDescent="0.4">
      <c r="A1157" s="68" t="s">
        <v>1783</v>
      </c>
      <c r="B1157" s="8" t="s">
        <v>1782</v>
      </c>
      <c r="D1157" s="59">
        <v>60</v>
      </c>
      <c r="E1157" s="66"/>
      <c r="F1157" s="63"/>
      <c r="G1157" s="8"/>
    </row>
    <row r="1158" spans="1:7" s="6" customFormat="1" x14ac:dyDescent="0.4">
      <c r="A1158" s="68" t="s">
        <v>1786</v>
      </c>
      <c r="B1158" s="8" t="s">
        <v>1785</v>
      </c>
      <c r="D1158" s="59">
        <v>70</v>
      </c>
      <c r="E1158" s="66"/>
      <c r="F1158" s="63"/>
      <c r="G1158" s="8"/>
    </row>
    <row r="1159" spans="1:7" s="6" customFormat="1" x14ac:dyDescent="0.4">
      <c r="A1159" s="68" t="s">
        <v>1787</v>
      </c>
      <c r="B1159" s="8" t="s">
        <v>1785</v>
      </c>
      <c r="D1159" s="59">
        <v>130</v>
      </c>
      <c r="E1159" s="66"/>
      <c r="F1159" s="63"/>
      <c r="G1159" s="8"/>
    </row>
    <row r="1160" spans="1:7" s="6" customFormat="1" x14ac:dyDescent="0.4">
      <c r="A1160" s="68" t="s">
        <v>1789</v>
      </c>
      <c r="B1160" s="8" t="s">
        <v>1790</v>
      </c>
      <c r="D1160" s="59">
        <v>50</v>
      </c>
      <c r="E1160" s="66"/>
      <c r="F1160" s="63"/>
      <c r="G1160" s="8"/>
    </row>
    <row r="1161" spans="1:7" s="6" customFormat="1" x14ac:dyDescent="0.4">
      <c r="A1161" s="68" t="s">
        <v>1791</v>
      </c>
      <c r="B1161" s="8" t="s">
        <v>1792</v>
      </c>
      <c r="D1161" s="59">
        <v>25</v>
      </c>
      <c r="E1161" s="66"/>
      <c r="F1161" s="63"/>
      <c r="G1161" s="8"/>
    </row>
    <row r="1162" spans="1:7" s="6" customFormat="1" x14ac:dyDescent="0.4">
      <c r="A1162" s="68" t="s">
        <v>1793</v>
      </c>
      <c r="B1162" s="8" t="s">
        <v>1790</v>
      </c>
      <c r="D1162" s="59">
        <v>15</v>
      </c>
      <c r="E1162" s="66"/>
      <c r="F1162" s="63"/>
      <c r="G1162" s="8"/>
    </row>
    <row r="1163" spans="1:7" s="6" customFormat="1" x14ac:dyDescent="0.4">
      <c r="A1163" s="68" t="s">
        <v>1204</v>
      </c>
      <c r="B1163" s="8" t="s">
        <v>1807</v>
      </c>
      <c r="D1163" s="59">
        <v>50</v>
      </c>
      <c r="E1163" s="66"/>
      <c r="F1163" s="63"/>
      <c r="G1163" s="8"/>
    </row>
    <row r="1164" spans="1:7" s="6" customFormat="1" x14ac:dyDescent="0.4">
      <c r="A1164" s="68" t="s">
        <v>1205</v>
      </c>
      <c r="B1164" s="8" t="s">
        <v>1807</v>
      </c>
      <c r="D1164" s="59">
        <v>90</v>
      </c>
      <c r="E1164" s="66"/>
      <c r="F1164" s="63"/>
      <c r="G1164" s="8"/>
    </row>
    <row r="1165" spans="1:7" s="6" customFormat="1" x14ac:dyDescent="0.4">
      <c r="A1165" s="68" t="s">
        <v>1809</v>
      </c>
      <c r="B1165" s="8" t="s">
        <v>1808</v>
      </c>
      <c r="D1165" s="59">
        <v>20</v>
      </c>
      <c r="E1165" s="66"/>
      <c r="F1165" s="63"/>
      <c r="G1165" s="8"/>
    </row>
    <row r="1166" spans="1:7" s="6" customFormat="1" x14ac:dyDescent="0.4">
      <c r="A1166" s="68" t="s">
        <v>1810</v>
      </c>
      <c r="B1166" s="8" t="s">
        <v>1808</v>
      </c>
      <c r="D1166" s="59">
        <v>20</v>
      </c>
      <c r="E1166" s="66"/>
      <c r="F1166" s="63"/>
      <c r="G1166" s="8"/>
    </row>
    <row r="1167" spans="1:7" s="6" customFormat="1" x14ac:dyDescent="0.4">
      <c r="A1167" s="68" t="s">
        <v>1811</v>
      </c>
      <c r="B1167" s="8" t="s">
        <v>1808</v>
      </c>
      <c r="D1167" s="59">
        <v>30</v>
      </c>
      <c r="E1167" s="66"/>
      <c r="F1167" s="63"/>
      <c r="G1167" s="8"/>
    </row>
    <row r="1168" spans="1:7" s="6" customFormat="1" x14ac:dyDescent="0.4">
      <c r="A1168" s="68" t="s">
        <v>1812</v>
      </c>
      <c r="B1168" s="8" t="s">
        <v>1813</v>
      </c>
      <c r="D1168" s="59">
        <v>105</v>
      </c>
      <c r="E1168" s="66"/>
      <c r="F1168" s="63"/>
      <c r="G1168" s="8"/>
    </row>
    <row r="1169" spans="1:7" s="6" customFormat="1" x14ac:dyDescent="0.4">
      <c r="A1169" s="68" t="s">
        <v>1814</v>
      </c>
      <c r="B1169" s="8" t="s">
        <v>1813</v>
      </c>
      <c r="D1169" s="59">
        <v>25</v>
      </c>
      <c r="E1169" s="66"/>
      <c r="F1169" s="63"/>
      <c r="G1169" s="8"/>
    </row>
    <row r="1170" spans="1:7" s="6" customFormat="1" x14ac:dyDescent="0.4">
      <c r="A1170" s="68" t="s">
        <v>1815</v>
      </c>
      <c r="B1170" s="8" t="s">
        <v>1813</v>
      </c>
      <c r="D1170" s="59">
        <v>60</v>
      </c>
      <c r="E1170" s="66"/>
      <c r="F1170" s="63"/>
      <c r="G1170" s="8"/>
    </row>
    <row r="1171" spans="1:7" s="6" customFormat="1" x14ac:dyDescent="0.4">
      <c r="A1171" s="68" t="s">
        <v>1816</v>
      </c>
      <c r="B1171" s="8" t="s">
        <v>1813</v>
      </c>
      <c r="D1171" s="59">
        <v>35</v>
      </c>
      <c r="E1171" s="66"/>
      <c r="F1171" s="63"/>
      <c r="G1171" s="8"/>
    </row>
    <row r="1172" spans="1:7" s="6" customFormat="1" x14ac:dyDescent="0.4">
      <c r="A1172" s="68" t="s">
        <v>1817</v>
      </c>
      <c r="B1172" s="8" t="s">
        <v>1813</v>
      </c>
      <c r="D1172" s="59">
        <v>25</v>
      </c>
      <c r="E1172" s="66"/>
      <c r="F1172" s="63"/>
      <c r="G1172" s="8"/>
    </row>
    <row r="1173" spans="1:7" s="6" customFormat="1" x14ac:dyDescent="0.4">
      <c r="A1173" s="68" t="s">
        <v>1818</v>
      </c>
      <c r="B1173" s="8" t="s">
        <v>1819</v>
      </c>
      <c r="D1173" s="59">
        <v>40</v>
      </c>
      <c r="E1173" s="66"/>
      <c r="F1173" s="63"/>
      <c r="G1173" s="8"/>
    </row>
    <row r="1174" spans="1:7" s="6" customFormat="1" x14ac:dyDescent="0.4">
      <c r="A1174" s="68" t="s">
        <v>1820</v>
      </c>
      <c r="B1174" s="8" t="s">
        <v>1819</v>
      </c>
      <c r="D1174" s="59">
        <v>55</v>
      </c>
      <c r="E1174" s="66"/>
      <c r="F1174" s="63"/>
      <c r="G1174" s="8"/>
    </row>
    <row r="1175" spans="1:7" s="6" customFormat="1" x14ac:dyDescent="0.4">
      <c r="A1175" s="68" t="s">
        <v>1821</v>
      </c>
      <c r="B1175" s="8" t="s">
        <v>1819</v>
      </c>
      <c r="D1175" s="59">
        <v>35</v>
      </c>
      <c r="E1175" s="66"/>
      <c r="F1175" s="63"/>
      <c r="G1175" s="8"/>
    </row>
    <row r="1176" spans="1:7" s="6" customFormat="1" x14ac:dyDescent="0.4">
      <c r="A1176" s="6" t="s">
        <v>1625</v>
      </c>
      <c r="B1176" s="8"/>
      <c r="D1176" s="73">
        <v>15</v>
      </c>
      <c r="E1176" s="66"/>
      <c r="F1176" s="63"/>
      <c r="G1176" s="8"/>
    </row>
    <row r="1177" spans="1:7" s="6" customFormat="1" x14ac:dyDescent="0.4">
      <c r="A1177" s="6" t="s">
        <v>1626</v>
      </c>
      <c r="D1177" s="73">
        <v>15</v>
      </c>
      <c r="E1177" s="66"/>
      <c r="F1177" s="63"/>
      <c r="G1177" s="8"/>
    </row>
    <row r="1178" spans="1:7" s="6" customFormat="1" x14ac:dyDescent="0.4">
      <c r="A1178" s="6" t="s">
        <v>1627</v>
      </c>
      <c r="D1178" s="73">
        <v>7</v>
      </c>
      <c r="E1178" s="66"/>
      <c r="F1178" s="63"/>
      <c r="G1178" s="8"/>
    </row>
    <row r="1179" spans="1:7" s="6" customFormat="1" x14ac:dyDescent="0.4">
      <c r="A1179" s="6" t="s">
        <v>1628</v>
      </c>
      <c r="D1179" s="73">
        <v>10</v>
      </c>
      <c r="E1179" s="66"/>
      <c r="F1179" s="63"/>
      <c r="G1179" s="8"/>
    </row>
    <row r="1180" spans="1:7" x14ac:dyDescent="0.4">
      <c r="A1180" s="58" t="s">
        <v>1629</v>
      </c>
      <c r="D1180" s="73">
        <v>10</v>
      </c>
    </row>
    <row r="1181" spans="1:7" x14ac:dyDescent="0.4">
      <c r="A1181" s="58" t="s">
        <v>1631</v>
      </c>
      <c r="B1181" s="5" t="s">
        <v>1617</v>
      </c>
      <c r="D1181" s="73">
        <v>15</v>
      </c>
    </row>
    <row r="1182" spans="1:7" x14ac:dyDescent="0.4">
      <c r="A1182" s="58" t="s">
        <v>1632</v>
      </c>
      <c r="D1182" s="73">
        <v>5</v>
      </c>
    </row>
    <row r="1183" spans="1:7" x14ac:dyDescent="0.4">
      <c r="A1183" s="58" t="s">
        <v>1633</v>
      </c>
      <c r="D1183" s="73">
        <v>5</v>
      </c>
    </row>
    <row r="1184" spans="1:7" x14ac:dyDescent="0.4">
      <c r="A1184" s="58" t="s">
        <v>1634</v>
      </c>
      <c r="D1184" s="73">
        <v>4</v>
      </c>
    </row>
    <row r="1185" spans="1:4" x14ac:dyDescent="0.4">
      <c r="A1185" s="58" t="s">
        <v>1635</v>
      </c>
      <c r="D1185" s="73">
        <v>7</v>
      </c>
    </row>
    <row r="1186" spans="1:4" x14ac:dyDescent="0.4">
      <c r="A1186" s="58" t="s">
        <v>1636</v>
      </c>
      <c r="D1186" s="73">
        <v>2</v>
      </c>
    </row>
    <row r="1187" spans="1:4" x14ac:dyDescent="0.4">
      <c r="A1187" s="58" t="s">
        <v>1637</v>
      </c>
      <c r="D1187" s="73">
        <v>5</v>
      </c>
    </row>
    <row r="1188" spans="1:4" x14ac:dyDescent="0.4">
      <c r="A1188" s="58" t="s">
        <v>1638</v>
      </c>
      <c r="D1188" s="73">
        <v>5</v>
      </c>
    </row>
    <row r="1189" spans="1:4" x14ac:dyDescent="0.4">
      <c r="A1189" s="58" t="s">
        <v>1639</v>
      </c>
      <c r="D1189" s="73">
        <v>5</v>
      </c>
    </row>
    <row r="1190" spans="1:4" x14ac:dyDescent="0.4">
      <c r="A1190" s="58" t="s">
        <v>1640</v>
      </c>
      <c r="D1190" s="73">
        <v>5</v>
      </c>
    </row>
    <row r="1191" spans="1:4" x14ac:dyDescent="0.4">
      <c r="A1191" s="58" t="s">
        <v>1644</v>
      </c>
      <c r="D1191" s="73">
        <v>140</v>
      </c>
    </row>
    <row r="1192" spans="1:4" x14ac:dyDescent="0.4">
      <c r="A1192" s="58" t="s">
        <v>1645</v>
      </c>
      <c r="D1192" s="73">
        <v>195</v>
      </c>
    </row>
    <row r="1193" spans="1:4" x14ac:dyDescent="0.4">
      <c r="A1193" s="58" t="s">
        <v>1646</v>
      </c>
      <c r="D1193" s="73">
        <v>15</v>
      </c>
    </row>
    <row r="1194" spans="1:4" x14ac:dyDescent="0.4">
      <c r="A1194" s="58" t="s">
        <v>1647</v>
      </c>
      <c r="D1194" s="73">
        <v>160</v>
      </c>
    </row>
    <row r="1195" spans="1:4" x14ac:dyDescent="0.4">
      <c r="A1195" s="58" t="s">
        <v>1648</v>
      </c>
      <c r="D1195" s="73">
        <v>420</v>
      </c>
    </row>
    <row r="1196" spans="1:4" x14ac:dyDescent="0.4">
      <c r="A1196" s="58" t="s">
        <v>1649</v>
      </c>
      <c r="D1196" s="73">
        <v>3</v>
      </c>
    </row>
    <row r="1197" spans="1:4" x14ac:dyDescent="0.4">
      <c r="A1197" s="58" t="s">
        <v>1651</v>
      </c>
      <c r="D1197" s="73">
        <v>15</v>
      </c>
    </row>
    <row r="1198" spans="1:4" x14ac:dyDescent="0.4">
      <c r="A1198" s="58" t="s">
        <v>1652</v>
      </c>
      <c r="D1198" s="73">
        <v>15</v>
      </c>
    </row>
    <row r="1199" spans="1:4" x14ac:dyDescent="0.4">
      <c r="A1199" s="58"/>
    </row>
    <row r="1200" spans="1:4" x14ac:dyDescent="0.4">
      <c r="A1200" s="58"/>
    </row>
    <row r="1201" spans="1:1" x14ac:dyDescent="0.4">
      <c r="A1201" s="58"/>
    </row>
    <row r="1202" spans="1:1" x14ac:dyDescent="0.4">
      <c r="A1202" s="58"/>
    </row>
    <row r="1203" spans="1:1" x14ac:dyDescent="0.4">
      <c r="A1203" s="58"/>
    </row>
    <row r="1204" spans="1:1" x14ac:dyDescent="0.4">
      <c r="A1204" s="58"/>
    </row>
    <row r="1205" spans="1:1" x14ac:dyDescent="0.4">
      <c r="A1205" s="58"/>
    </row>
    <row r="1206" spans="1:1" x14ac:dyDescent="0.4">
      <c r="A1206" s="58"/>
    </row>
    <row r="1207" spans="1:1" x14ac:dyDescent="0.4">
      <c r="A1207" s="58"/>
    </row>
    <row r="1208" spans="1:1" x14ac:dyDescent="0.4">
      <c r="A1208" s="58"/>
    </row>
    <row r="1209" spans="1:1" x14ac:dyDescent="0.4">
      <c r="A1209" s="58"/>
    </row>
    <row r="1210" spans="1:1" x14ac:dyDescent="0.4">
      <c r="A1210" s="58"/>
    </row>
    <row r="1211" spans="1:1" x14ac:dyDescent="0.4">
      <c r="A1211" s="58"/>
    </row>
    <row r="1212" spans="1:1" x14ac:dyDescent="0.4">
      <c r="A1212" s="58"/>
    </row>
    <row r="1213" spans="1:1" x14ac:dyDescent="0.4">
      <c r="A1213" s="58"/>
    </row>
    <row r="1214" spans="1:1" x14ac:dyDescent="0.4">
      <c r="A1214" s="58"/>
    </row>
    <row r="1215" spans="1:1" x14ac:dyDescent="0.4">
      <c r="A1215" s="58"/>
    </row>
    <row r="1216" spans="1:1" x14ac:dyDescent="0.4">
      <c r="A1216" s="58"/>
    </row>
    <row r="1217" spans="1:1" x14ac:dyDescent="0.4">
      <c r="A1217" s="58"/>
    </row>
    <row r="1218" spans="1:1" x14ac:dyDescent="0.4">
      <c r="A1218" s="58"/>
    </row>
    <row r="1219" spans="1:1" x14ac:dyDescent="0.4">
      <c r="A1219" s="58"/>
    </row>
    <row r="1220" spans="1:1" x14ac:dyDescent="0.4">
      <c r="A1220" s="58"/>
    </row>
    <row r="1221" spans="1:1" x14ac:dyDescent="0.4">
      <c r="A1221" s="58"/>
    </row>
    <row r="1222" spans="1:1" x14ac:dyDescent="0.4">
      <c r="A1222" s="58"/>
    </row>
    <row r="1223" spans="1:1" x14ac:dyDescent="0.4">
      <c r="A1223" s="58"/>
    </row>
    <row r="1224" spans="1:1" x14ac:dyDescent="0.4">
      <c r="A1224" s="58"/>
    </row>
    <row r="1225" spans="1:1" x14ac:dyDescent="0.4">
      <c r="A1225" s="58"/>
    </row>
    <row r="1226" spans="1:1" x14ac:dyDescent="0.4">
      <c r="A1226" s="58"/>
    </row>
    <row r="1227" spans="1:1" x14ac:dyDescent="0.4">
      <c r="A1227" s="58"/>
    </row>
    <row r="1228" spans="1:1" x14ac:dyDescent="0.4">
      <c r="A1228" s="58"/>
    </row>
    <row r="1229" spans="1:1" x14ac:dyDescent="0.4">
      <c r="A1229" s="58"/>
    </row>
    <row r="1230" spans="1:1" x14ac:dyDescent="0.4">
      <c r="A1230" s="58"/>
    </row>
    <row r="1231" spans="1:1" x14ac:dyDescent="0.4">
      <c r="A1231" s="58"/>
    </row>
    <row r="1232" spans="1:1" x14ac:dyDescent="0.4">
      <c r="A1232" s="58"/>
    </row>
    <row r="1233" spans="1:2" x14ac:dyDescent="0.4">
      <c r="A1233" s="58"/>
    </row>
    <row r="1234" spans="1:2" x14ac:dyDescent="0.4">
      <c r="A1234" s="58"/>
    </row>
    <row r="1235" spans="1:2" x14ac:dyDescent="0.4">
      <c r="A1235" s="58"/>
    </row>
    <row r="1236" spans="1:2" x14ac:dyDescent="0.4">
      <c r="A1236" s="58"/>
    </row>
    <row r="1237" spans="1:2" x14ac:dyDescent="0.4">
      <c r="A1237" s="58"/>
    </row>
    <row r="1238" spans="1:2" x14ac:dyDescent="0.4">
      <c r="A1238" s="58"/>
    </row>
    <row r="1239" spans="1:2" x14ac:dyDescent="0.4">
      <c r="A1239" s="58"/>
    </row>
    <row r="1240" spans="1:2" x14ac:dyDescent="0.4">
      <c r="A1240" s="58"/>
    </row>
    <row r="1241" spans="1:2" x14ac:dyDescent="0.4">
      <c r="A1241" s="58"/>
      <c r="B1241" s="8"/>
    </row>
    <row r="1242" spans="1:2" x14ac:dyDescent="0.4">
      <c r="A1242" s="58"/>
      <c r="B1242" s="8"/>
    </row>
    <row r="1243" spans="1:2" x14ac:dyDescent="0.4">
      <c r="A1243" s="58"/>
      <c r="B1243" s="8"/>
    </row>
    <row r="1244" spans="1:2" x14ac:dyDescent="0.4">
      <c r="A1244" s="58"/>
      <c r="B1244" s="8"/>
    </row>
    <row r="1245" spans="1:2" x14ac:dyDescent="0.4">
      <c r="A1245" s="58"/>
      <c r="B1245" s="8"/>
    </row>
    <row r="1246" spans="1:2" x14ac:dyDescent="0.4">
      <c r="A1246" s="58"/>
      <c r="B1246" s="8"/>
    </row>
    <row r="1247" spans="1:2" x14ac:dyDescent="0.4">
      <c r="A1247" s="58"/>
      <c r="B1247" s="8"/>
    </row>
    <row r="1248" spans="1:2" x14ac:dyDescent="0.4">
      <c r="A1248" s="58"/>
      <c r="B1248" s="8"/>
    </row>
    <row r="1249" spans="1:2" x14ac:dyDescent="0.4">
      <c r="A1249" s="58"/>
      <c r="B1249" s="8"/>
    </row>
    <row r="1250" spans="1:2" x14ac:dyDescent="0.4">
      <c r="A1250" s="58"/>
      <c r="B1250" s="8"/>
    </row>
    <row r="1251" spans="1:2" x14ac:dyDescent="0.4">
      <c r="A1251" s="58"/>
      <c r="B1251" s="8"/>
    </row>
    <row r="1252" spans="1:2" x14ac:dyDescent="0.4">
      <c r="A1252" s="58"/>
      <c r="B1252" s="8"/>
    </row>
    <row r="1253" spans="1:2" x14ac:dyDescent="0.4">
      <c r="A1253" s="58"/>
      <c r="B1253" s="8"/>
    </row>
    <row r="1254" spans="1:2" x14ac:dyDescent="0.4">
      <c r="A1254" s="58"/>
      <c r="B1254" s="8"/>
    </row>
    <row r="1255" spans="1:2" x14ac:dyDescent="0.4">
      <c r="A1255" s="58"/>
      <c r="B1255" s="8"/>
    </row>
    <row r="1256" spans="1:2" x14ac:dyDescent="0.4">
      <c r="A1256" s="58"/>
      <c r="B1256" s="8"/>
    </row>
    <row r="1257" spans="1:2" x14ac:dyDescent="0.4">
      <c r="A1257" s="58"/>
      <c r="B1257" s="8"/>
    </row>
    <row r="1258" spans="1:2" x14ac:dyDescent="0.4">
      <c r="A1258" s="58"/>
      <c r="B1258" s="8"/>
    </row>
    <row r="1259" spans="1:2" x14ac:dyDescent="0.4">
      <c r="A1259" s="58"/>
      <c r="B1259" s="8"/>
    </row>
    <row r="1260" spans="1:2" x14ac:dyDescent="0.4">
      <c r="A1260" s="58"/>
      <c r="B1260" s="8"/>
    </row>
    <row r="1261" spans="1:2" x14ac:dyDescent="0.4">
      <c r="A1261" s="58"/>
      <c r="B1261" s="8"/>
    </row>
    <row r="1262" spans="1:2" x14ac:dyDescent="0.4">
      <c r="A1262" s="58"/>
      <c r="B1262" s="8"/>
    </row>
    <row r="1263" spans="1:2" x14ac:dyDescent="0.4">
      <c r="A1263" s="58"/>
      <c r="B1263" s="8"/>
    </row>
    <row r="1264" spans="1:2" x14ac:dyDescent="0.4">
      <c r="A1264" s="58"/>
      <c r="B1264" s="8"/>
    </row>
    <row r="1265" spans="1:2" x14ac:dyDescent="0.4">
      <c r="A1265" s="58"/>
      <c r="B1265" s="8"/>
    </row>
    <row r="1266" spans="1:2" x14ac:dyDescent="0.4">
      <c r="A1266" s="58"/>
    </row>
    <row r="1267" spans="1:2" x14ac:dyDescent="0.4">
      <c r="A1267" s="58"/>
    </row>
    <row r="1268" spans="1:2" x14ac:dyDescent="0.4">
      <c r="A1268" s="58"/>
    </row>
    <row r="1269" spans="1:2" x14ac:dyDescent="0.4">
      <c r="A1269" s="58"/>
    </row>
    <row r="1270" spans="1:2" x14ac:dyDescent="0.4">
      <c r="A1270" s="58"/>
    </row>
    <row r="1271" spans="1:2" x14ac:dyDescent="0.4">
      <c r="A1271" s="58"/>
    </row>
    <row r="1272" spans="1:2" x14ac:dyDescent="0.4">
      <c r="A1272" s="58"/>
    </row>
    <row r="1273" spans="1:2" x14ac:dyDescent="0.4">
      <c r="A1273" s="58"/>
    </row>
    <row r="1274" spans="1:2" x14ac:dyDescent="0.4">
      <c r="A1274" s="58"/>
    </row>
    <row r="1275" spans="1:2" x14ac:dyDescent="0.4">
      <c r="A1275" s="58"/>
    </row>
    <row r="1276" spans="1:2" x14ac:dyDescent="0.4">
      <c r="A1276" s="58"/>
    </row>
    <row r="1277" spans="1:2" x14ac:dyDescent="0.4">
      <c r="A1277" s="58"/>
    </row>
    <row r="1278" spans="1:2" x14ac:dyDescent="0.4">
      <c r="A1278" s="58"/>
    </row>
    <row r="1279" spans="1:2" x14ac:dyDescent="0.4">
      <c r="A1279" s="58"/>
    </row>
    <row r="1280" spans="1:2" x14ac:dyDescent="0.4">
      <c r="A1280" s="58"/>
    </row>
    <row r="1281" spans="1:1" x14ac:dyDescent="0.4">
      <c r="A1281" s="58"/>
    </row>
    <row r="1282" spans="1:1" x14ac:dyDescent="0.4">
      <c r="A1282" s="58"/>
    </row>
    <row r="1283" spans="1:1" x14ac:dyDescent="0.4">
      <c r="A1283" s="58"/>
    </row>
    <row r="1284" spans="1:1" x14ac:dyDescent="0.4">
      <c r="A1284" s="58"/>
    </row>
    <row r="1285" spans="1:1" x14ac:dyDescent="0.4">
      <c r="A1285" s="58"/>
    </row>
    <row r="1286" spans="1:1" x14ac:dyDescent="0.4">
      <c r="A1286" s="58"/>
    </row>
    <row r="1287" spans="1:1" x14ac:dyDescent="0.4">
      <c r="A1287" s="58"/>
    </row>
    <row r="1288" spans="1:1" x14ac:dyDescent="0.4">
      <c r="A1288" s="58"/>
    </row>
    <row r="1289" spans="1:1" x14ac:dyDescent="0.4">
      <c r="A1289" s="58"/>
    </row>
    <row r="1290" spans="1:1" x14ac:dyDescent="0.4">
      <c r="A1290" s="58"/>
    </row>
    <row r="1291" spans="1:1" x14ac:dyDescent="0.4">
      <c r="A1291" s="58"/>
    </row>
    <row r="1292" spans="1:1" x14ac:dyDescent="0.4">
      <c r="A1292" s="58"/>
    </row>
    <row r="1293" spans="1:1" x14ac:dyDescent="0.4">
      <c r="A1293" s="58"/>
    </row>
    <row r="1294" spans="1:1" x14ac:dyDescent="0.4">
      <c r="A1294" s="58"/>
    </row>
    <row r="1295" spans="1:1" x14ac:dyDescent="0.4">
      <c r="A1295" s="58"/>
    </row>
    <row r="1296" spans="1:1" x14ac:dyDescent="0.4">
      <c r="A1296" s="58"/>
    </row>
    <row r="1297" spans="1:1" x14ac:dyDescent="0.4">
      <c r="A1297" s="58"/>
    </row>
    <row r="1298" spans="1:1" x14ac:dyDescent="0.4">
      <c r="A1298" s="58"/>
    </row>
    <row r="1299" spans="1:1" x14ac:dyDescent="0.4">
      <c r="A1299" s="58"/>
    </row>
    <row r="1300" spans="1:1" x14ac:dyDescent="0.4">
      <c r="A1300" s="58"/>
    </row>
    <row r="1301" spans="1:1" x14ac:dyDescent="0.4">
      <c r="A1301" s="58"/>
    </row>
    <row r="1302" spans="1:1" x14ac:dyDescent="0.4">
      <c r="A1302" s="58"/>
    </row>
    <row r="1303" spans="1:1" x14ac:dyDescent="0.4">
      <c r="A1303" s="58"/>
    </row>
    <row r="1304" spans="1:1" x14ac:dyDescent="0.4">
      <c r="A1304" s="58"/>
    </row>
    <row r="1305" spans="1:1" x14ac:dyDescent="0.4">
      <c r="A1305" s="58"/>
    </row>
    <row r="1306" spans="1:1" x14ac:dyDescent="0.4">
      <c r="A1306" s="58"/>
    </row>
    <row r="1307" spans="1:1" x14ac:dyDescent="0.4">
      <c r="A1307" s="58"/>
    </row>
    <row r="1308" spans="1:1" x14ac:dyDescent="0.4">
      <c r="A1308" s="58"/>
    </row>
    <row r="1309" spans="1:1" x14ac:dyDescent="0.4">
      <c r="A1309" s="58"/>
    </row>
    <row r="1310" spans="1:1" x14ac:dyDescent="0.4">
      <c r="A1310" s="58"/>
    </row>
    <row r="1311" spans="1:1" x14ac:dyDescent="0.4">
      <c r="A1311" s="58"/>
    </row>
    <row r="1312" spans="1:1" x14ac:dyDescent="0.4">
      <c r="A1312" s="58"/>
    </row>
    <row r="1313" spans="1:1" x14ac:dyDescent="0.4">
      <c r="A1313" s="58"/>
    </row>
    <row r="1314" spans="1:1" x14ac:dyDescent="0.4">
      <c r="A1314" s="58"/>
    </row>
    <row r="1315" spans="1:1" x14ac:dyDescent="0.4">
      <c r="A1315" s="58"/>
    </row>
    <row r="1316" spans="1:1" x14ac:dyDescent="0.4">
      <c r="A1316" s="58"/>
    </row>
    <row r="1317" spans="1:1" x14ac:dyDescent="0.4">
      <c r="A1317" s="58"/>
    </row>
    <row r="1318" spans="1:1" x14ac:dyDescent="0.4">
      <c r="A1318" s="58"/>
    </row>
    <row r="1319" spans="1:1" x14ac:dyDescent="0.4">
      <c r="A1319" s="58"/>
    </row>
    <row r="1320" spans="1:1" x14ac:dyDescent="0.4">
      <c r="A1320" s="58"/>
    </row>
    <row r="1321" spans="1:1" x14ac:dyDescent="0.4">
      <c r="A1321" s="58"/>
    </row>
    <row r="1322" spans="1:1" x14ac:dyDescent="0.4">
      <c r="A1322" s="58"/>
    </row>
    <row r="1323" spans="1:1" x14ac:dyDescent="0.4">
      <c r="A1323" s="58"/>
    </row>
    <row r="1324" spans="1:1" x14ac:dyDescent="0.4">
      <c r="A1324" s="58"/>
    </row>
    <row r="1325" spans="1:1" x14ac:dyDescent="0.4">
      <c r="A1325" s="58"/>
    </row>
    <row r="1326" spans="1:1" x14ac:dyDescent="0.4">
      <c r="A1326" s="58"/>
    </row>
    <row r="1327" spans="1:1" x14ac:dyDescent="0.4">
      <c r="A1327" s="58"/>
    </row>
    <row r="1328" spans="1:1" x14ac:dyDescent="0.4">
      <c r="A1328" s="58"/>
    </row>
    <row r="1329" spans="1:1" x14ac:dyDescent="0.4">
      <c r="A1329" s="58"/>
    </row>
    <row r="1330" spans="1:1" x14ac:dyDescent="0.4">
      <c r="A1330" s="58"/>
    </row>
    <row r="1331" spans="1:1" x14ac:dyDescent="0.4">
      <c r="A1331" s="58"/>
    </row>
    <row r="1332" spans="1:1" x14ac:dyDescent="0.4">
      <c r="A1332" s="58"/>
    </row>
    <row r="1333" spans="1:1" x14ac:dyDescent="0.4">
      <c r="A1333" s="58"/>
    </row>
    <row r="1334" spans="1:1" x14ac:dyDescent="0.4">
      <c r="A1334" s="58"/>
    </row>
    <row r="1335" spans="1:1" x14ac:dyDescent="0.4">
      <c r="A1335" s="58"/>
    </row>
    <row r="1336" spans="1:1" x14ac:dyDescent="0.4">
      <c r="A1336" s="58"/>
    </row>
    <row r="1337" spans="1:1" x14ac:dyDescent="0.4">
      <c r="A1337" s="58"/>
    </row>
    <row r="1338" spans="1:1" x14ac:dyDescent="0.4">
      <c r="A1338" s="58"/>
    </row>
    <row r="1339" spans="1:1" x14ac:dyDescent="0.4">
      <c r="A1339" s="58"/>
    </row>
    <row r="1340" spans="1:1" x14ac:dyDescent="0.4">
      <c r="A1340" s="58"/>
    </row>
    <row r="1341" spans="1:1" x14ac:dyDescent="0.4">
      <c r="A1341" s="58"/>
    </row>
    <row r="1342" spans="1:1" x14ac:dyDescent="0.4">
      <c r="A1342" s="58"/>
    </row>
    <row r="1343" spans="1:1" x14ac:dyDescent="0.4">
      <c r="A1343" s="58"/>
    </row>
    <row r="1344" spans="1:1" x14ac:dyDescent="0.4">
      <c r="A1344" s="58"/>
    </row>
    <row r="1345" spans="1:1" x14ac:dyDescent="0.4">
      <c r="A1345" s="58"/>
    </row>
    <row r="1346" spans="1:1" x14ac:dyDescent="0.4">
      <c r="A1346" s="58"/>
    </row>
    <row r="1347" spans="1:1" x14ac:dyDescent="0.4">
      <c r="A1347" s="58"/>
    </row>
    <row r="1348" spans="1:1" x14ac:dyDescent="0.4">
      <c r="A1348" s="58"/>
    </row>
    <row r="1349" spans="1:1" x14ac:dyDescent="0.4">
      <c r="A1349" s="58"/>
    </row>
    <row r="1350" spans="1:1" x14ac:dyDescent="0.4">
      <c r="A1350" s="58"/>
    </row>
    <row r="1351" spans="1:1" x14ac:dyDescent="0.4">
      <c r="A1351" s="58"/>
    </row>
    <row r="1352" spans="1:1" x14ac:dyDescent="0.4">
      <c r="A1352" s="58"/>
    </row>
    <row r="1353" spans="1:1" x14ac:dyDescent="0.4">
      <c r="A1353" s="58"/>
    </row>
    <row r="1354" spans="1:1" x14ac:dyDescent="0.4">
      <c r="A1354" s="58"/>
    </row>
    <row r="1355" spans="1:1" x14ac:dyDescent="0.4">
      <c r="A1355" s="58"/>
    </row>
    <row r="1356" spans="1:1" x14ac:dyDescent="0.4">
      <c r="A1356" s="58"/>
    </row>
    <row r="1357" spans="1:1" x14ac:dyDescent="0.4">
      <c r="A1357" s="58"/>
    </row>
    <row r="1358" spans="1:1" x14ac:dyDescent="0.4">
      <c r="A1358" s="58"/>
    </row>
    <row r="1359" spans="1:1" x14ac:dyDescent="0.4">
      <c r="A1359" s="58"/>
    </row>
    <row r="1360" spans="1:1" x14ac:dyDescent="0.4">
      <c r="A1360" s="58"/>
    </row>
    <row r="1361" spans="1:1" x14ac:dyDescent="0.4">
      <c r="A1361" s="58"/>
    </row>
    <row r="1362" spans="1:1" x14ac:dyDescent="0.4">
      <c r="A1362" s="58"/>
    </row>
    <row r="1363" spans="1:1" x14ac:dyDescent="0.4">
      <c r="A1363" s="58"/>
    </row>
    <row r="1364" spans="1:1" x14ac:dyDescent="0.4">
      <c r="A1364" s="58"/>
    </row>
    <row r="1365" spans="1:1" x14ac:dyDescent="0.4">
      <c r="A1365" s="58"/>
    </row>
    <row r="1366" spans="1:1" x14ac:dyDescent="0.4">
      <c r="A1366" s="58"/>
    </row>
    <row r="1367" spans="1:1" x14ac:dyDescent="0.4">
      <c r="A1367" s="58"/>
    </row>
    <row r="1368" spans="1:1" x14ac:dyDescent="0.4">
      <c r="A1368" s="58"/>
    </row>
    <row r="1369" spans="1:1" x14ac:dyDescent="0.4">
      <c r="A1369" s="58"/>
    </row>
    <row r="1370" spans="1:1" x14ac:dyDescent="0.4">
      <c r="A1370" s="58"/>
    </row>
    <row r="1371" spans="1:1" x14ac:dyDescent="0.4">
      <c r="A1371" s="58"/>
    </row>
    <row r="1372" spans="1:1" x14ac:dyDescent="0.4">
      <c r="A1372" s="58"/>
    </row>
    <row r="1373" spans="1:1" x14ac:dyDescent="0.4">
      <c r="A1373" s="58"/>
    </row>
    <row r="1374" spans="1:1" x14ac:dyDescent="0.4">
      <c r="A1374" s="58"/>
    </row>
    <row r="1375" spans="1:1" x14ac:dyDescent="0.4">
      <c r="A1375" s="58"/>
    </row>
    <row r="1376" spans="1:1" x14ac:dyDescent="0.4">
      <c r="A1376" s="58"/>
    </row>
    <row r="1377" spans="1:1" x14ac:dyDescent="0.4">
      <c r="A1377" s="58"/>
    </row>
    <row r="1378" spans="1:1" x14ac:dyDescent="0.4">
      <c r="A1378" s="58"/>
    </row>
    <row r="1379" spans="1:1" x14ac:dyDescent="0.4">
      <c r="A1379" s="58"/>
    </row>
    <row r="1380" spans="1:1" x14ac:dyDescent="0.4">
      <c r="A1380" s="58"/>
    </row>
    <row r="1381" spans="1:1" x14ac:dyDescent="0.4">
      <c r="A1381" s="58"/>
    </row>
    <row r="1382" spans="1:1" x14ac:dyDescent="0.4">
      <c r="A1382" s="58"/>
    </row>
    <row r="1383" spans="1:1" x14ac:dyDescent="0.4">
      <c r="A1383" s="58"/>
    </row>
    <row r="1384" spans="1:1" x14ac:dyDescent="0.4">
      <c r="A1384" s="58"/>
    </row>
    <row r="1385" spans="1:1" x14ac:dyDescent="0.4">
      <c r="A1385" s="58"/>
    </row>
    <row r="1386" spans="1:1" x14ac:dyDescent="0.4">
      <c r="A1386" s="58"/>
    </row>
    <row r="1387" spans="1:1" x14ac:dyDescent="0.4">
      <c r="A1387" s="58"/>
    </row>
    <row r="1388" spans="1:1" x14ac:dyDescent="0.4">
      <c r="A1388" s="58"/>
    </row>
    <row r="1389" spans="1:1" x14ac:dyDescent="0.4">
      <c r="A1389" s="58"/>
    </row>
    <row r="1390" spans="1:1" x14ac:dyDescent="0.4">
      <c r="A1390" s="58"/>
    </row>
    <row r="1391" spans="1:1" x14ac:dyDescent="0.4">
      <c r="A1391" s="58"/>
    </row>
    <row r="1392" spans="1:1" x14ac:dyDescent="0.4">
      <c r="A1392" s="58"/>
    </row>
    <row r="1393" spans="1:2" x14ac:dyDescent="0.4">
      <c r="A1393" s="58"/>
    </row>
    <row r="1394" spans="1:2" x14ac:dyDescent="0.4">
      <c r="A1394" s="58"/>
    </row>
    <row r="1395" spans="1:2" x14ac:dyDescent="0.4">
      <c r="A1395" s="58"/>
    </row>
    <row r="1396" spans="1:2" x14ac:dyDescent="0.4">
      <c r="A1396" s="58"/>
    </row>
    <row r="1397" spans="1:2" x14ac:dyDescent="0.4">
      <c r="A1397" s="58"/>
    </row>
    <row r="1398" spans="1:2" x14ac:dyDescent="0.4">
      <c r="A1398" s="58"/>
    </row>
    <row r="1399" spans="1:2" x14ac:dyDescent="0.4">
      <c r="A1399" s="58"/>
    </row>
    <row r="1400" spans="1:2" x14ac:dyDescent="0.4">
      <c r="A1400" s="58"/>
    </row>
    <row r="1401" spans="1:2" x14ac:dyDescent="0.4">
      <c r="A1401" s="58"/>
    </row>
    <row r="1402" spans="1:2" x14ac:dyDescent="0.4">
      <c r="A1402" s="58"/>
    </row>
    <row r="1403" spans="1:2" x14ac:dyDescent="0.4">
      <c r="A1403" s="58"/>
    </row>
    <row r="1404" spans="1:2" x14ac:dyDescent="0.4">
      <c r="A1404" s="58"/>
    </row>
    <row r="1405" spans="1:2" x14ac:dyDescent="0.4">
      <c r="A1405" s="64"/>
      <c r="B1405" s="8"/>
    </row>
    <row r="1406" spans="1:2" x14ac:dyDescent="0.4">
      <c r="A1406" s="58"/>
      <c r="B1406" s="8"/>
    </row>
    <row r="1407" spans="1:2" x14ac:dyDescent="0.4">
      <c r="A1407" s="58"/>
      <c r="B1407" s="8"/>
    </row>
    <row r="1408" spans="1:2" x14ac:dyDescent="0.4">
      <c r="A1408" s="58"/>
      <c r="B1408" s="8"/>
    </row>
    <row r="1409" spans="1:1" x14ac:dyDescent="0.4">
      <c r="A1409" s="58"/>
    </row>
    <row r="1410" spans="1:1" x14ac:dyDescent="0.4">
      <c r="A1410" s="58"/>
    </row>
    <row r="1411" spans="1:1" x14ac:dyDescent="0.4">
      <c r="A1411" s="58"/>
    </row>
    <row r="1412" spans="1:1" x14ac:dyDescent="0.4">
      <c r="A1412" s="58"/>
    </row>
    <row r="1413" spans="1:1" x14ac:dyDescent="0.4">
      <c r="A1413" s="58"/>
    </row>
    <row r="1414" spans="1:1" x14ac:dyDescent="0.4">
      <c r="A1414" s="58"/>
    </row>
    <row r="1415" spans="1:1" x14ac:dyDescent="0.4">
      <c r="A1415" s="58"/>
    </row>
    <row r="1416" spans="1:1" x14ac:dyDescent="0.4">
      <c r="A1416" s="58"/>
    </row>
    <row r="1417" spans="1:1" x14ac:dyDescent="0.4">
      <c r="A1417" s="58"/>
    </row>
    <row r="1418" spans="1:1" x14ac:dyDescent="0.4">
      <c r="A1418" s="58"/>
    </row>
    <row r="1419" spans="1:1" x14ac:dyDescent="0.4">
      <c r="A1419" s="58"/>
    </row>
    <row r="1420" spans="1:1" x14ac:dyDescent="0.4">
      <c r="A1420" s="58"/>
    </row>
    <row r="1421" spans="1:1" x14ac:dyDescent="0.4">
      <c r="A1421" s="58"/>
    </row>
    <row r="1422" spans="1:1" x14ac:dyDescent="0.4">
      <c r="A1422" s="58"/>
    </row>
    <row r="1423" spans="1:1" x14ac:dyDescent="0.4">
      <c r="A1423" s="58"/>
    </row>
    <row r="1424" spans="1:1" x14ac:dyDescent="0.4">
      <c r="A1424" s="58"/>
    </row>
    <row r="1425" spans="1:4" x14ac:dyDescent="0.4">
      <c r="A1425" s="58"/>
    </row>
    <row r="1426" spans="1:4" x14ac:dyDescent="0.4">
      <c r="A1426" s="58"/>
    </row>
    <row r="1427" spans="1:4" x14ac:dyDescent="0.4">
      <c r="A1427" s="58"/>
    </row>
    <row r="1428" spans="1:4" x14ac:dyDescent="0.4">
      <c r="A1428" s="58"/>
    </row>
    <row r="1429" spans="1:4" x14ac:dyDescent="0.4">
      <c r="A1429" s="58"/>
    </row>
    <row r="1430" spans="1:4" x14ac:dyDescent="0.4">
      <c r="A1430" s="58"/>
    </row>
    <row r="1431" spans="1:4" x14ac:dyDescent="0.4">
      <c r="A1431" s="58"/>
    </row>
    <row r="1432" spans="1:4" x14ac:dyDescent="0.4">
      <c r="A1432" s="58"/>
    </row>
    <row r="1433" spans="1:4" x14ac:dyDescent="0.4">
      <c r="A1433" s="58"/>
    </row>
    <row r="1434" spans="1:4" x14ac:dyDescent="0.4">
      <c r="A1434" s="58"/>
    </row>
    <row r="1435" spans="1:4" x14ac:dyDescent="0.4">
      <c r="A1435" s="58"/>
    </row>
    <row r="1436" spans="1:4" x14ac:dyDescent="0.4">
      <c r="A1436" s="58"/>
    </row>
    <row r="1437" spans="1:4" x14ac:dyDescent="0.4">
      <c r="A1437" s="67"/>
      <c r="D1437" s="59"/>
    </row>
    <row r="1438" spans="1:4" x14ac:dyDescent="0.4">
      <c r="A1438" s="67"/>
      <c r="D1438" s="59"/>
    </row>
    <row r="1439" spans="1:4" x14ac:dyDescent="0.4">
      <c r="A1439" s="58"/>
    </row>
    <row r="1440" spans="1:4" x14ac:dyDescent="0.4">
      <c r="A1440" s="58"/>
    </row>
    <row r="1441" spans="1:1" x14ac:dyDescent="0.4">
      <c r="A1441" s="58"/>
    </row>
    <row r="1442" spans="1:1" x14ac:dyDescent="0.4">
      <c r="A1442" s="58"/>
    </row>
    <row r="1443" spans="1:1" x14ac:dyDescent="0.4">
      <c r="A1443" s="58"/>
    </row>
    <row r="1444" spans="1:1" x14ac:dyDescent="0.4">
      <c r="A1444" s="58"/>
    </row>
    <row r="1445" spans="1:1" x14ac:dyDescent="0.4">
      <c r="A1445" s="58"/>
    </row>
    <row r="1446" spans="1:1" x14ac:dyDescent="0.4">
      <c r="A1446" s="58"/>
    </row>
    <row r="1447" spans="1:1" x14ac:dyDescent="0.4">
      <c r="A1447" s="58"/>
    </row>
    <row r="1448" spans="1:1" x14ac:dyDescent="0.4">
      <c r="A1448" s="58"/>
    </row>
    <row r="1449" spans="1:1" x14ac:dyDescent="0.4">
      <c r="A1449" s="58"/>
    </row>
    <row r="1450" spans="1:1" x14ac:dyDescent="0.4">
      <c r="A1450" s="58"/>
    </row>
    <row r="1451" spans="1:1" x14ac:dyDescent="0.4">
      <c r="A1451" s="58"/>
    </row>
    <row r="1452" spans="1:1" x14ac:dyDescent="0.4">
      <c r="A1452" s="58"/>
    </row>
    <row r="1453" spans="1:1" x14ac:dyDescent="0.4">
      <c r="A1453" s="58"/>
    </row>
    <row r="1454" spans="1:1" x14ac:dyDescent="0.4">
      <c r="A1454" s="58"/>
    </row>
    <row r="1455" spans="1:1" x14ac:dyDescent="0.4">
      <c r="A1455" s="58"/>
    </row>
    <row r="1456" spans="1:1" x14ac:dyDescent="0.4">
      <c r="A1456" s="58"/>
    </row>
    <row r="1457" spans="1:1" x14ac:dyDescent="0.4">
      <c r="A1457" s="58"/>
    </row>
    <row r="1458" spans="1:1" x14ac:dyDescent="0.4">
      <c r="A1458" s="58"/>
    </row>
    <row r="1459" spans="1:1" x14ac:dyDescent="0.4">
      <c r="A1459" s="58"/>
    </row>
    <row r="1460" spans="1:1" x14ac:dyDescent="0.4">
      <c r="A1460" s="58"/>
    </row>
    <row r="1461" spans="1:1" x14ac:dyDescent="0.4">
      <c r="A1461" s="58"/>
    </row>
    <row r="1462" spans="1:1" x14ac:dyDescent="0.4">
      <c r="A1462" s="58"/>
    </row>
    <row r="1463" spans="1:1" x14ac:dyDescent="0.4">
      <c r="A1463" s="58"/>
    </row>
    <row r="1464" spans="1:1" x14ac:dyDescent="0.4">
      <c r="A1464" s="58"/>
    </row>
    <row r="1465" spans="1:1" x14ac:dyDescent="0.4">
      <c r="A1465" s="58"/>
    </row>
    <row r="1466" spans="1:1" x14ac:dyDescent="0.4">
      <c r="A1466" s="58"/>
    </row>
    <row r="1467" spans="1:1" x14ac:dyDescent="0.4">
      <c r="A1467" s="58"/>
    </row>
    <row r="1468" spans="1:1" x14ac:dyDescent="0.4">
      <c r="A1468" s="58"/>
    </row>
    <row r="1469" spans="1:1" x14ac:dyDescent="0.4">
      <c r="A1469" s="58"/>
    </row>
    <row r="1470" spans="1:1" x14ac:dyDescent="0.4">
      <c r="A1470" s="58"/>
    </row>
    <row r="1471" spans="1:1" x14ac:dyDescent="0.4">
      <c r="A1471" s="58"/>
    </row>
    <row r="1472" spans="1:1" x14ac:dyDescent="0.4">
      <c r="A1472" s="58"/>
    </row>
    <row r="1473" spans="1:1" x14ac:dyDescent="0.4">
      <c r="A1473" s="58"/>
    </row>
    <row r="1474" spans="1:1" x14ac:dyDescent="0.4">
      <c r="A1474" s="58"/>
    </row>
    <row r="1475" spans="1:1" x14ac:dyDescent="0.4">
      <c r="A1475" s="58"/>
    </row>
    <row r="1476" spans="1:1" x14ac:dyDescent="0.4">
      <c r="A1476" s="58"/>
    </row>
    <row r="1477" spans="1:1" x14ac:dyDescent="0.4">
      <c r="A1477" s="58"/>
    </row>
    <row r="1478" spans="1:1" x14ac:dyDescent="0.4">
      <c r="A1478" s="58"/>
    </row>
    <row r="1479" spans="1:1" x14ac:dyDescent="0.4">
      <c r="A1479" s="58"/>
    </row>
    <row r="1480" spans="1:1" x14ac:dyDescent="0.4">
      <c r="A1480" s="58"/>
    </row>
    <row r="1481" spans="1:1" x14ac:dyDescent="0.4">
      <c r="A1481" s="58"/>
    </row>
    <row r="1482" spans="1:1" x14ac:dyDescent="0.4">
      <c r="A1482" s="58"/>
    </row>
    <row r="1483" spans="1:1" x14ac:dyDescent="0.4">
      <c r="A1483" s="58"/>
    </row>
    <row r="1484" spans="1:1" x14ac:dyDescent="0.4">
      <c r="A1484" s="58"/>
    </row>
    <row r="1485" spans="1:1" x14ac:dyDescent="0.4">
      <c r="A1485" s="58"/>
    </row>
    <row r="1486" spans="1:1" x14ac:dyDescent="0.4">
      <c r="A1486" s="58"/>
    </row>
    <row r="1487" spans="1:1" x14ac:dyDescent="0.4">
      <c r="A1487" s="58"/>
    </row>
    <row r="1488" spans="1:1" x14ac:dyDescent="0.4">
      <c r="A1488" s="58"/>
    </row>
    <row r="1489" spans="1:1" x14ac:dyDescent="0.4">
      <c r="A1489" s="58"/>
    </row>
    <row r="1490" spans="1:1" x14ac:dyDescent="0.4">
      <c r="A1490" s="58"/>
    </row>
    <row r="1491" spans="1:1" x14ac:dyDescent="0.4">
      <c r="A1491" s="58"/>
    </row>
    <row r="1492" spans="1:1" x14ac:dyDescent="0.4">
      <c r="A1492" s="58"/>
    </row>
    <row r="1493" spans="1:1" x14ac:dyDescent="0.4">
      <c r="A1493" s="58"/>
    </row>
    <row r="1494" spans="1:1" x14ac:dyDescent="0.4">
      <c r="A1494" s="58"/>
    </row>
    <row r="1495" spans="1:1" x14ac:dyDescent="0.4">
      <c r="A1495" s="58"/>
    </row>
    <row r="1496" spans="1:1" x14ac:dyDescent="0.4">
      <c r="A1496" s="58"/>
    </row>
    <row r="1497" spans="1:1" x14ac:dyDescent="0.4">
      <c r="A1497" s="58"/>
    </row>
    <row r="1498" spans="1:1" x14ac:dyDescent="0.4">
      <c r="A1498" s="58"/>
    </row>
    <row r="1499" spans="1:1" x14ac:dyDescent="0.4">
      <c r="A1499" s="58"/>
    </row>
    <row r="1500" spans="1:1" x14ac:dyDescent="0.4">
      <c r="A1500" s="58"/>
    </row>
    <row r="1501" spans="1:1" x14ac:dyDescent="0.4">
      <c r="A1501" s="58"/>
    </row>
    <row r="1502" spans="1:1" x14ac:dyDescent="0.4">
      <c r="A1502" s="58"/>
    </row>
    <row r="1503" spans="1:1" x14ac:dyDescent="0.4">
      <c r="A1503" s="58"/>
    </row>
    <row r="1504" spans="1:1" x14ac:dyDescent="0.4">
      <c r="A1504" s="58"/>
    </row>
    <row r="1505" spans="1:1" x14ac:dyDescent="0.4">
      <c r="A1505" s="58"/>
    </row>
  </sheetData>
  <sortState ref="A2:E954">
    <sortCondition ref="A2"/>
  </sortState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"/>
  <sheetViews>
    <sheetView topLeftCell="A260" workbookViewId="0">
      <selection activeCell="B269" sqref="B269"/>
    </sheetView>
  </sheetViews>
  <sheetFormatPr defaultColWidth="11.5546875" defaultRowHeight="14.4" x14ac:dyDescent="0.3"/>
  <cols>
    <col min="2" max="2" width="55.109375" customWidth="1"/>
    <col min="3" max="3" width="15.5546875" customWidth="1"/>
    <col min="5" max="5" width="31.44140625" customWidth="1"/>
  </cols>
  <sheetData>
    <row r="1" spans="1:6" ht="15" customHeight="1" x14ac:dyDescent="0.3">
      <c r="B1" s="79" t="s">
        <v>1148</v>
      </c>
      <c r="C1" s="79"/>
      <c r="D1" s="79"/>
      <c r="E1" s="79"/>
      <c r="F1" s="79"/>
    </row>
    <row r="2" spans="1:6" ht="15" customHeight="1" x14ac:dyDescent="0.3">
      <c r="B2" s="79"/>
      <c r="C2" s="79"/>
      <c r="D2" s="79"/>
      <c r="E2" s="79"/>
      <c r="F2" s="79"/>
    </row>
    <row r="3" spans="1:6" ht="21" x14ac:dyDescent="0.4">
      <c r="B3" s="12"/>
      <c r="C3" s="12"/>
      <c r="D3" s="13"/>
      <c r="F3" s="14"/>
    </row>
    <row r="4" spans="1:6" ht="21" x14ac:dyDescent="0.4">
      <c r="A4" t="s">
        <v>1497</v>
      </c>
      <c r="B4" s="16" t="s">
        <v>0</v>
      </c>
      <c r="C4" t="s">
        <v>1497</v>
      </c>
      <c r="D4" s="17" t="s">
        <v>3</v>
      </c>
      <c r="E4" s="15" t="s">
        <v>1149</v>
      </c>
      <c r="F4" s="18" t="s">
        <v>1</v>
      </c>
    </row>
    <row r="5" spans="1:6" ht="21" x14ac:dyDescent="0.4">
      <c r="A5" t="s">
        <v>1059</v>
      </c>
      <c r="B5" s="6" t="s">
        <v>1456</v>
      </c>
      <c r="C5" t="s">
        <v>1059</v>
      </c>
      <c r="D5" s="19">
        <v>22</v>
      </c>
      <c r="E5" s="20" t="s">
        <v>1457</v>
      </c>
      <c r="F5" s="18">
        <v>15</v>
      </c>
    </row>
    <row r="6" spans="1:6" ht="21" x14ac:dyDescent="0.4">
      <c r="A6" t="s">
        <v>1059</v>
      </c>
      <c r="B6" s="6" t="s">
        <v>1458</v>
      </c>
      <c r="C6" t="s">
        <v>1059</v>
      </c>
      <c r="D6" s="19">
        <v>45</v>
      </c>
      <c r="E6" s="20" t="s">
        <v>1457</v>
      </c>
      <c r="F6" s="18">
        <v>16</v>
      </c>
    </row>
    <row r="7" spans="1:6" s="40" customFormat="1" ht="21" x14ac:dyDescent="0.4">
      <c r="A7" t="s">
        <v>1071</v>
      </c>
      <c r="B7" s="31" t="s">
        <v>1505</v>
      </c>
      <c r="C7" t="s">
        <v>1071</v>
      </c>
      <c r="D7" s="32">
        <v>35</v>
      </c>
      <c r="E7" s="56" t="s">
        <v>1455</v>
      </c>
      <c r="F7" s="34">
        <v>29</v>
      </c>
    </row>
    <row r="8" spans="1:6" s="40" customFormat="1" ht="21" x14ac:dyDescent="0.4">
      <c r="A8" t="s">
        <v>1071</v>
      </c>
      <c r="B8" s="31" t="s">
        <v>1503</v>
      </c>
      <c r="C8" t="s">
        <v>1071</v>
      </c>
      <c r="D8" s="32">
        <v>35</v>
      </c>
      <c r="E8" s="33" t="s">
        <v>1504</v>
      </c>
      <c r="F8" s="34"/>
    </row>
    <row r="9" spans="1:6" ht="21" x14ac:dyDescent="0.4">
      <c r="A9" t="s">
        <v>1071</v>
      </c>
      <c r="B9" s="6" t="s">
        <v>1501</v>
      </c>
      <c r="C9" t="s">
        <v>1071</v>
      </c>
      <c r="D9" s="19">
        <v>45</v>
      </c>
      <c r="E9" s="20" t="s">
        <v>1502</v>
      </c>
      <c r="F9" s="18">
        <v>47</v>
      </c>
    </row>
    <row r="10" spans="1:6" ht="21" x14ac:dyDescent="0.4">
      <c r="A10" t="s">
        <v>1071</v>
      </c>
      <c r="B10" s="6" t="s">
        <v>1499</v>
      </c>
      <c r="C10" t="s">
        <v>1071</v>
      </c>
      <c r="D10" s="19">
        <v>45</v>
      </c>
      <c r="E10" s="20" t="s">
        <v>1500</v>
      </c>
      <c r="F10" s="18"/>
    </row>
    <row r="11" spans="1:6" ht="21" x14ac:dyDescent="0.4">
      <c r="A11" t="s">
        <v>1498</v>
      </c>
      <c r="B11" s="6" t="s">
        <v>1217</v>
      </c>
      <c r="C11" t="s">
        <v>1498</v>
      </c>
      <c r="D11" s="19">
        <v>25</v>
      </c>
      <c r="E11" s="20" t="s">
        <v>1218</v>
      </c>
      <c r="F11" s="18">
        <v>7</v>
      </c>
    </row>
    <row r="12" spans="1:6" ht="21" x14ac:dyDescent="0.4">
      <c r="A12" t="s">
        <v>1498</v>
      </c>
      <c r="B12" s="6" t="s">
        <v>1219</v>
      </c>
      <c r="C12" t="s">
        <v>1498</v>
      </c>
      <c r="D12" s="19">
        <v>30</v>
      </c>
      <c r="E12" s="20" t="s">
        <v>1220</v>
      </c>
      <c r="F12" s="18">
        <v>7</v>
      </c>
    </row>
    <row r="13" spans="1:6" ht="21" x14ac:dyDescent="0.4">
      <c r="A13" t="s">
        <v>1498</v>
      </c>
      <c r="B13" s="6" t="s">
        <v>1221</v>
      </c>
      <c r="C13" t="s">
        <v>1498</v>
      </c>
      <c r="D13" s="19">
        <v>60</v>
      </c>
      <c r="E13" s="20" t="s">
        <v>1220</v>
      </c>
      <c r="F13" s="18">
        <v>7</v>
      </c>
    </row>
    <row r="14" spans="1:6" ht="21" x14ac:dyDescent="0.4">
      <c r="A14" t="s">
        <v>1507</v>
      </c>
      <c r="B14" s="6" t="s">
        <v>1509</v>
      </c>
      <c r="C14" t="s">
        <v>1507</v>
      </c>
      <c r="D14" s="19">
        <v>15</v>
      </c>
      <c r="E14" s="20" t="s">
        <v>1459</v>
      </c>
      <c r="F14" s="18">
        <v>34</v>
      </c>
    </row>
    <row r="15" spans="1:6" ht="21" x14ac:dyDescent="0.4">
      <c r="A15" t="s">
        <v>1507</v>
      </c>
      <c r="B15" s="6" t="s">
        <v>1508</v>
      </c>
      <c r="C15" t="s">
        <v>1507</v>
      </c>
      <c r="D15" s="19">
        <v>30</v>
      </c>
      <c r="E15" s="20" t="s">
        <v>1460</v>
      </c>
      <c r="F15" s="18">
        <v>26</v>
      </c>
    </row>
    <row r="16" spans="1:6" ht="21" x14ac:dyDescent="0.4">
      <c r="A16" t="s">
        <v>1507</v>
      </c>
      <c r="B16" s="6" t="s">
        <v>1506</v>
      </c>
      <c r="C16" t="s">
        <v>1507</v>
      </c>
      <c r="D16" s="19">
        <v>50</v>
      </c>
      <c r="E16" s="20"/>
      <c r="F16" s="18">
        <v>22</v>
      </c>
    </row>
    <row r="17" spans="1:6" ht="21" x14ac:dyDescent="0.4">
      <c r="A17" t="s">
        <v>1510</v>
      </c>
      <c r="B17" s="6" t="s">
        <v>1395</v>
      </c>
      <c r="C17" t="s">
        <v>1510</v>
      </c>
      <c r="D17" s="19">
        <v>20</v>
      </c>
      <c r="E17" s="20"/>
      <c r="F17" s="18">
        <v>13</v>
      </c>
    </row>
    <row r="18" spans="1:6" ht="21" x14ac:dyDescent="0.4">
      <c r="A18" t="s">
        <v>1510</v>
      </c>
      <c r="B18" s="6" t="s">
        <v>1421</v>
      </c>
      <c r="C18" t="s">
        <v>1510</v>
      </c>
      <c r="D18" s="19">
        <v>15</v>
      </c>
      <c r="E18" s="20" t="s">
        <v>1422</v>
      </c>
      <c r="F18" s="18">
        <v>14</v>
      </c>
    </row>
    <row r="19" spans="1:6" ht="21" x14ac:dyDescent="0.4">
      <c r="A19" t="s">
        <v>1510</v>
      </c>
      <c r="B19" s="6" t="s">
        <v>1427</v>
      </c>
      <c r="C19" t="s">
        <v>1510</v>
      </c>
      <c r="D19" s="19">
        <v>15</v>
      </c>
      <c r="E19" s="20" t="s">
        <v>125</v>
      </c>
      <c r="F19" s="18">
        <v>14</v>
      </c>
    </row>
    <row r="20" spans="1:6" ht="21" x14ac:dyDescent="0.4">
      <c r="A20" t="s">
        <v>1511</v>
      </c>
      <c r="B20" s="6" t="s">
        <v>1226</v>
      </c>
      <c r="C20" t="s">
        <v>1511</v>
      </c>
      <c r="D20" s="19">
        <v>85</v>
      </c>
      <c r="E20" s="20" t="s">
        <v>1227</v>
      </c>
      <c r="F20" s="18">
        <v>2</v>
      </c>
    </row>
    <row r="21" spans="1:6" ht="21" x14ac:dyDescent="0.4">
      <c r="A21" t="s">
        <v>1511</v>
      </c>
      <c r="B21" s="6" t="s">
        <v>1310</v>
      </c>
      <c r="C21" t="s">
        <v>1511</v>
      </c>
      <c r="D21" s="19">
        <v>30</v>
      </c>
      <c r="E21" s="20" t="s">
        <v>1311</v>
      </c>
      <c r="F21" s="18">
        <v>7</v>
      </c>
    </row>
    <row r="22" spans="1:6" ht="21" x14ac:dyDescent="0.4">
      <c r="A22" t="s">
        <v>1511</v>
      </c>
      <c r="B22" s="6" t="s">
        <v>1401</v>
      </c>
      <c r="C22" t="s">
        <v>1511</v>
      </c>
      <c r="D22" s="19">
        <v>30</v>
      </c>
      <c r="E22" s="20"/>
      <c r="F22" s="18">
        <v>30</v>
      </c>
    </row>
    <row r="23" spans="1:6" ht="21" x14ac:dyDescent="0.4">
      <c r="A23" s="51" t="s">
        <v>1512</v>
      </c>
      <c r="B23" s="52" t="s">
        <v>1347</v>
      </c>
      <c r="C23" s="51" t="s">
        <v>1512</v>
      </c>
      <c r="D23" s="53">
        <v>25</v>
      </c>
      <c r="E23" s="54" t="s">
        <v>1348</v>
      </c>
      <c r="F23" s="55">
        <v>5</v>
      </c>
    </row>
    <row r="24" spans="1:6" ht="21" x14ac:dyDescent="0.4">
      <c r="A24" s="4" t="s">
        <v>1512</v>
      </c>
      <c r="B24" s="11" t="s">
        <v>1351</v>
      </c>
      <c r="C24" s="4" t="s">
        <v>1512</v>
      </c>
      <c r="D24" s="21">
        <v>45</v>
      </c>
      <c r="E24" s="22" t="s">
        <v>1352</v>
      </c>
      <c r="F24" s="23">
        <v>5</v>
      </c>
    </row>
    <row r="25" spans="1:6" ht="21" x14ac:dyDescent="0.4">
      <c r="A25" t="s">
        <v>1512</v>
      </c>
      <c r="B25" s="6" t="s">
        <v>1513</v>
      </c>
      <c r="C25" t="s">
        <v>1512</v>
      </c>
      <c r="D25" s="19">
        <v>25</v>
      </c>
      <c r="E25" s="20" t="s">
        <v>1354</v>
      </c>
      <c r="F25" s="18">
        <v>5</v>
      </c>
    </row>
    <row r="26" spans="1:6" ht="21" x14ac:dyDescent="0.4">
      <c r="A26" t="s">
        <v>1528</v>
      </c>
      <c r="B26" s="6" t="s">
        <v>1214</v>
      </c>
      <c r="C26" t="s">
        <v>1528</v>
      </c>
      <c r="D26" s="19">
        <v>25</v>
      </c>
      <c r="E26" s="20"/>
      <c r="F26" s="18">
        <v>36</v>
      </c>
    </row>
    <row r="27" spans="1:6" ht="21" x14ac:dyDescent="0.4">
      <c r="A27" t="s">
        <v>1528</v>
      </c>
      <c r="B27" s="6" t="s">
        <v>1527</v>
      </c>
      <c r="C27" t="s">
        <v>1528</v>
      </c>
      <c r="D27" s="19">
        <v>25</v>
      </c>
      <c r="E27" s="20" t="s">
        <v>1409</v>
      </c>
      <c r="F27" s="18">
        <v>31</v>
      </c>
    </row>
    <row r="28" spans="1:6" ht="21" x14ac:dyDescent="0.4">
      <c r="A28" t="s">
        <v>1528</v>
      </c>
      <c r="B28" s="11" t="s">
        <v>1436</v>
      </c>
      <c r="C28" t="s">
        <v>1528</v>
      </c>
      <c r="D28" s="21">
        <v>8</v>
      </c>
      <c r="E28" s="22" t="s">
        <v>1437</v>
      </c>
      <c r="F28" s="23">
        <v>53</v>
      </c>
    </row>
    <row r="29" spans="1:6" ht="21" x14ac:dyDescent="0.4">
      <c r="A29" t="s">
        <v>1525</v>
      </c>
      <c r="B29" s="6" t="s">
        <v>1268</v>
      </c>
      <c r="C29" t="s">
        <v>1525</v>
      </c>
      <c r="D29" s="19">
        <v>20</v>
      </c>
      <c r="E29" s="20" t="s">
        <v>1269</v>
      </c>
      <c r="F29" s="18">
        <v>10</v>
      </c>
    </row>
    <row r="30" spans="1:6" ht="21" x14ac:dyDescent="0.4">
      <c r="A30" t="s">
        <v>1525</v>
      </c>
      <c r="B30" s="6" t="s">
        <v>1273</v>
      </c>
      <c r="C30" t="s">
        <v>1525</v>
      </c>
      <c r="D30" s="19">
        <v>10</v>
      </c>
      <c r="E30" s="20" t="s">
        <v>1274</v>
      </c>
      <c r="F30" s="18">
        <v>10</v>
      </c>
    </row>
    <row r="31" spans="1:6" s="40" customFormat="1" ht="21" x14ac:dyDescent="0.4">
      <c r="A31" t="s">
        <v>1525</v>
      </c>
      <c r="B31" s="6" t="s">
        <v>1524</v>
      </c>
      <c r="C31" t="s">
        <v>1525</v>
      </c>
      <c r="D31" s="19">
        <v>45</v>
      </c>
      <c r="E31" s="20" t="s">
        <v>1526</v>
      </c>
      <c r="F31" s="18"/>
    </row>
    <row r="32" spans="1:6" ht="21" x14ac:dyDescent="0.4">
      <c r="A32" t="s">
        <v>1525</v>
      </c>
      <c r="B32" s="6" t="s">
        <v>1474</v>
      </c>
      <c r="C32" t="s">
        <v>1525</v>
      </c>
      <c r="D32" s="19">
        <v>25</v>
      </c>
      <c r="E32" s="20"/>
      <c r="F32" s="18">
        <v>27</v>
      </c>
    </row>
    <row r="33" spans="1:6" ht="21" x14ac:dyDescent="0.4">
      <c r="A33" t="s">
        <v>1514</v>
      </c>
      <c r="B33" s="6" t="s">
        <v>1224</v>
      </c>
      <c r="C33" t="s">
        <v>1514</v>
      </c>
      <c r="D33" s="19">
        <v>20</v>
      </c>
      <c r="E33" s="20" t="s">
        <v>1225</v>
      </c>
      <c r="F33" s="18">
        <v>12</v>
      </c>
    </row>
    <row r="34" spans="1:6" ht="21" x14ac:dyDescent="0.4">
      <c r="A34" t="s">
        <v>1514</v>
      </c>
      <c r="B34" s="6" t="s">
        <v>1228</v>
      </c>
      <c r="C34" t="s">
        <v>1514</v>
      </c>
      <c r="D34" s="19">
        <v>25</v>
      </c>
      <c r="E34" s="20" t="s">
        <v>1225</v>
      </c>
      <c r="F34" s="18">
        <v>12</v>
      </c>
    </row>
    <row r="35" spans="1:6" ht="21" x14ac:dyDescent="0.4">
      <c r="A35" t="s">
        <v>1514</v>
      </c>
      <c r="B35" s="6" t="s">
        <v>1229</v>
      </c>
      <c r="C35" t="s">
        <v>1514</v>
      </c>
      <c r="D35" s="19">
        <v>25</v>
      </c>
      <c r="E35" s="20" t="s">
        <v>42</v>
      </c>
      <c r="F35" s="18">
        <v>12</v>
      </c>
    </row>
    <row r="36" spans="1:6" ht="21" x14ac:dyDescent="0.4">
      <c r="A36" t="s">
        <v>1514</v>
      </c>
      <c r="B36" s="6" t="s">
        <v>1231</v>
      </c>
      <c r="C36" t="s">
        <v>1514</v>
      </c>
      <c r="D36" s="19">
        <v>15</v>
      </c>
      <c r="E36" s="20" t="s">
        <v>1232</v>
      </c>
      <c r="F36" s="18">
        <v>20</v>
      </c>
    </row>
    <row r="37" spans="1:6" ht="21" x14ac:dyDescent="0.4">
      <c r="A37" t="s">
        <v>1514</v>
      </c>
      <c r="B37" s="6" t="s">
        <v>1243</v>
      </c>
      <c r="C37" t="s">
        <v>1514</v>
      </c>
      <c r="D37" s="19">
        <v>25</v>
      </c>
      <c r="E37" s="20" t="s">
        <v>1232</v>
      </c>
      <c r="F37" s="18">
        <v>6</v>
      </c>
    </row>
    <row r="38" spans="1:6" ht="21" x14ac:dyDescent="0.4">
      <c r="A38" t="s">
        <v>1519</v>
      </c>
      <c r="B38" s="6" t="s">
        <v>1520</v>
      </c>
      <c r="C38" t="s">
        <v>1519</v>
      </c>
      <c r="D38" s="19">
        <v>15</v>
      </c>
      <c r="E38" s="20" t="s">
        <v>1188</v>
      </c>
      <c r="F38" s="18">
        <v>6</v>
      </c>
    </row>
    <row r="39" spans="1:6" ht="21" x14ac:dyDescent="0.4">
      <c r="A39" t="s">
        <v>1519</v>
      </c>
      <c r="B39" s="6" t="s">
        <v>1521</v>
      </c>
      <c r="C39" t="s">
        <v>1519</v>
      </c>
      <c r="D39" s="19">
        <v>15</v>
      </c>
      <c r="E39" s="20"/>
      <c r="F39" s="18"/>
    </row>
    <row r="40" spans="1:6" ht="21" x14ac:dyDescent="0.4">
      <c r="A40" t="s">
        <v>1519</v>
      </c>
      <c r="B40" s="6" t="s">
        <v>1282</v>
      </c>
      <c r="C40" t="s">
        <v>1519</v>
      </c>
      <c r="D40" s="19">
        <v>15</v>
      </c>
      <c r="E40" s="20"/>
      <c r="F40" s="18">
        <v>23</v>
      </c>
    </row>
    <row r="41" spans="1:6" ht="21" x14ac:dyDescent="0.4">
      <c r="A41" t="s">
        <v>1519</v>
      </c>
      <c r="B41" s="31" t="s">
        <v>1286</v>
      </c>
      <c r="C41" t="s">
        <v>1519</v>
      </c>
      <c r="D41" s="32">
        <v>20</v>
      </c>
      <c r="E41" s="33"/>
      <c r="F41" s="34">
        <v>2</v>
      </c>
    </row>
    <row r="42" spans="1:6" s="40" customFormat="1" ht="21" x14ac:dyDescent="0.4">
      <c r="A42" t="s">
        <v>1519</v>
      </c>
      <c r="B42" s="6" t="s">
        <v>1287</v>
      </c>
      <c r="C42" t="s">
        <v>1519</v>
      </c>
      <c r="D42" s="19">
        <v>20</v>
      </c>
      <c r="E42" s="20"/>
      <c r="F42" s="18">
        <v>23</v>
      </c>
    </row>
    <row r="43" spans="1:6" ht="21" x14ac:dyDescent="0.4">
      <c r="A43" t="s">
        <v>1519</v>
      </c>
      <c r="B43" s="6" t="s">
        <v>1403</v>
      </c>
      <c r="C43" t="s">
        <v>1519</v>
      </c>
      <c r="D43" s="19">
        <v>25</v>
      </c>
      <c r="E43" s="20"/>
      <c r="F43" s="18">
        <v>23</v>
      </c>
    </row>
    <row r="44" spans="1:6" ht="21" x14ac:dyDescent="0.4">
      <c r="A44" t="s">
        <v>1523</v>
      </c>
      <c r="B44" s="6" t="s">
        <v>1151</v>
      </c>
      <c r="C44" t="s">
        <v>1523</v>
      </c>
      <c r="D44" s="19">
        <v>45</v>
      </c>
      <c r="E44" s="20" t="s">
        <v>1150</v>
      </c>
      <c r="F44" s="18">
        <v>25</v>
      </c>
    </row>
    <row r="45" spans="1:6" ht="21" x14ac:dyDescent="0.4">
      <c r="A45" t="s">
        <v>1523</v>
      </c>
      <c r="B45" s="6" t="s">
        <v>1181</v>
      </c>
      <c r="C45" t="s">
        <v>1523</v>
      </c>
      <c r="D45" s="19">
        <v>50</v>
      </c>
      <c r="E45" s="20"/>
      <c r="F45" s="18">
        <v>12</v>
      </c>
    </row>
    <row r="46" spans="1:6" ht="21" x14ac:dyDescent="0.4">
      <c r="A46" t="s">
        <v>1523</v>
      </c>
      <c r="B46" s="6" t="s">
        <v>1182</v>
      </c>
      <c r="C46" t="s">
        <v>1523</v>
      </c>
      <c r="D46" s="19">
        <v>45</v>
      </c>
      <c r="E46" s="20"/>
      <c r="F46" s="18">
        <v>12</v>
      </c>
    </row>
    <row r="47" spans="1:6" ht="21" x14ac:dyDescent="0.4">
      <c r="A47" t="s">
        <v>1523</v>
      </c>
      <c r="B47" s="6" t="s">
        <v>1475</v>
      </c>
      <c r="C47" t="s">
        <v>1523</v>
      </c>
      <c r="D47" s="19">
        <v>30</v>
      </c>
      <c r="E47" s="20" t="s">
        <v>1476</v>
      </c>
      <c r="F47" s="18">
        <v>26</v>
      </c>
    </row>
    <row r="48" spans="1:6" ht="21" x14ac:dyDescent="0.4">
      <c r="A48" t="s">
        <v>1523</v>
      </c>
      <c r="B48" s="6" t="s">
        <v>1477</v>
      </c>
      <c r="C48" t="s">
        <v>1523</v>
      </c>
      <c r="D48" s="19">
        <v>35</v>
      </c>
      <c r="E48" s="20"/>
      <c r="F48" s="18">
        <v>9</v>
      </c>
    </row>
    <row r="49" spans="1:6" ht="21" x14ac:dyDescent="0.4">
      <c r="A49" t="s">
        <v>1522</v>
      </c>
      <c r="B49" s="6" t="s">
        <v>1201</v>
      </c>
      <c r="C49" t="s">
        <v>1522</v>
      </c>
      <c r="D49" s="19">
        <v>30</v>
      </c>
      <c r="E49" s="20"/>
      <c r="F49" s="18">
        <v>31</v>
      </c>
    </row>
    <row r="50" spans="1:6" ht="21" x14ac:dyDescent="0.4">
      <c r="A50" t="s">
        <v>1522</v>
      </c>
      <c r="B50" s="6" t="s">
        <v>1299</v>
      </c>
      <c r="C50" t="s">
        <v>1522</v>
      </c>
      <c r="D50" s="19">
        <v>20</v>
      </c>
      <c r="E50" s="20"/>
      <c r="F50" s="18">
        <v>34</v>
      </c>
    </row>
    <row r="51" spans="1:6" ht="21" x14ac:dyDescent="0.4">
      <c r="A51" t="s">
        <v>1522</v>
      </c>
      <c r="B51" s="6" t="s">
        <v>1303</v>
      </c>
      <c r="C51" t="s">
        <v>1522</v>
      </c>
      <c r="D51" s="19">
        <v>8</v>
      </c>
      <c r="E51" s="20"/>
      <c r="F51" s="18">
        <v>20</v>
      </c>
    </row>
    <row r="52" spans="1:6" ht="21" x14ac:dyDescent="0.4">
      <c r="A52" t="s">
        <v>1515</v>
      </c>
      <c r="B52" s="6" t="s">
        <v>1518</v>
      </c>
      <c r="C52" t="s">
        <v>1515</v>
      </c>
      <c r="D52" s="19">
        <v>20</v>
      </c>
      <c r="E52" s="20"/>
      <c r="F52" s="18">
        <v>13</v>
      </c>
    </row>
    <row r="53" spans="1:6" ht="21" x14ac:dyDescent="0.4">
      <c r="A53" t="s">
        <v>1515</v>
      </c>
      <c r="B53" s="6" t="s">
        <v>1379</v>
      </c>
      <c r="C53" t="s">
        <v>1515</v>
      </c>
      <c r="D53" s="19">
        <v>45</v>
      </c>
      <c r="E53" s="20" t="s">
        <v>1380</v>
      </c>
      <c r="F53" s="18">
        <v>4</v>
      </c>
    </row>
    <row r="54" spans="1:6" s="35" customFormat="1" ht="21" x14ac:dyDescent="0.4">
      <c r="A54" t="s">
        <v>1515</v>
      </c>
      <c r="B54" s="6" t="s">
        <v>1516</v>
      </c>
      <c r="C54" t="s">
        <v>1515</v>
      </c>
      <c r="D54" s="19">
        <v>35</v>
      </c>
      <c r="E54" s="20" t="s">
        <v>1517</v>
      </c>
      <c r="F54" s="18">
        <v>23</v>
      </c>
    </row>
    <row r="55" spans="1:6" ht="21" x14ac:dyDescent="0.4">
      <c r="A55" t="s">
        <v>808</v>
      </c>
      <c r="B55" s="6" t="s">
        <v>1206</v>
      </c>
      <c r="C55" t="s">
        <v>808</v>
      </c>
      <c r="D55" s="19">
        <v>15</v>
      </c>
      <c r="E55" s="20" t="s">
        <v>1207</v>
      </c>
      <c r="F55" s="18">
        <v>27</v>
      </c>
    </row>
    <row r="56" spans="1:6" ht="21" x14ac:dyDescent="0.4">
      <c r="A56" t="s">
        <v>808</v>
      </c>
      <c r="B56" s="6" t="s">
        <v>1208</v>
      </c>
      <c r="C56" t="s">
        <v>808</v>
      </c>
      <c r="D56" s="19">
        <v>20</v>
      </c>
      <c r="E56" s="20" t="s">
        <v>1207</v>
      </c>
      <c r="F56" s="18">
        <v>27</v>
      </c>
    </row>
    <row r="57" spans="1:6" ht="21" x14ac:dyDescent="0.4">
      <c r="A57" t="s">
        <v>808</v>
      </c>
      <c r="B57" s="6" t="s">
        <v>1209</v>
      </c>
      <c r="C57" t="s">
        <v>808</v>
      </c>
      <c r="D57" s="19">
        <v>25</v>
      </c>
      <c r="E57" s="20" t="s">
        <v>1207</v>
      </c>
      <c r="F57" s="18">
        <v>27</v>
      </c>
    </row>
    <row r="58" spans="1:6" ht="21" x14ac:dyDescent="0.4">
      <c r="A58" t="s">
        <v>808</v>
      </c>
      <c r="B58" s="6" t="s">
        <v>1335</v>
      </c>
      <c r="C58" t="s">
        <v>808</v>
      </c>
      <c r="D58" s="19">
        <v>20</v>
      </c>
      <c r="E58" s="20"/>
      <c r="F58" s="18">
        <v>27</v>
      </c>
    </row>
    <row r="59" spans="1:6" ht="21" x14ac:dyDescent="0.4">
      <c r="A59" t="s">
        <v>808</v>
      </c>
      <c r="B59" s="6" t="s">
        <v>1336</v>
      </c>
      <c r="C59" t="s">
        <v>808</v>
      </c>
      <c r="D59" s="19">
        <v>25</v>
      </c>
      <c r="E59" s="20"/>
      <c r="F59" s="18">
        <v>27</v>
      </c>
    </row>
    <row r="60" spans="1:6" ht="21" x14ac:dyDescent="0.4">
      <c r="A60" t="s">
        <v>808</v>
      </c>
      <c r="B60" s="6" t="s">
        <v>1478</v>
      </c>
      <c r="C60" t="s">
        <v>808</v>
      </c>
      <c r="D60" s="19">
        <v>25</v>
      </c>
      <c r="E60" s="20"/>
      <c r="F60" s="18">
        <v>11</v>
      </c>
    </row>
    <row r="61" spans="1:6" ht="21" x14ac:dyDescent="0.4">
      <c r="A61" s="40" t="s">
        <v>815</v>
      </c>
      <c r="B61" s="41" t="s">
        <v>1278</v>
      </c>
      <c r="C61" s="40" t="s">
        <v>815</v>
      </c>
      <c r="D61" s="42">
        <v>25</v>
      </c>
      <c r="E61" s="43" t="s">
        <v>1279</v>
      </c>
      <c r="F61" s="44">
        <v>29</v>
      </c>
    </row>
    <row r="62" spans="1:6" ht="21" x14ac:dyDescent="0.4">
      <c r="A62" t="s">
        <v>815</v>
      </c>
      <c r="B62" s="6" t="s">
        <v>1441</v>
      </c>
      <c r="C62" t="s">
        <v>815</v>
      </c>
      <c r="D62" s="19">
        <v>45</v>
      </c>
      <c r="E62" s="20" t="s">
        <v>1442</v>
      </c>
      <c r="F62" s="18">
        <v>21</v>
      </c>
    </row>
    <row r="63" spans="1:6" ht="21" x14ac:dyDescent="0.4">
      <c r="A63" t="s">
        <v>815</v>
      </c>
      <c r="B63" s="11" t="s">
        <v>1494</v>
      </c>
      <c r="C63" t="s">
        <v>815</v>
      </c>
      <c r="D63" s="21">
        <v>85</v>
      </c>
      <c r="E63" s="22"/>
      <c r="F63" s="23">
        <v>21</v>
      </c>
    </row>
    <row r="64" spans="1:6" ht="21" x14ac:dyDescent="0.4">
      <c r="A64" t="s">
        <v>826</v>
      </c>
      <c r="B64" s="6" t="s">
        <v>1530</v>
      </c>
      <c r="C64" t="s">
        <v>826</v>
      </c>
      <c r="D64" s="19">
        <v>15</v>
      </c>
      <c r="E64" s="20" t="s">
        <v>1275</v>
      </c>
      <c r="F64" s="18">
        <v>1</v>
      </c>
    </row>
    <row r="65" spans="1:6" ht="21" x14ac:dyDescent="0.4">
      <c r="A65" t="s">
        <v>826</v>
      </c>
      <c r="B65" s="6" t="s">
        <v>1529</v>
      </c>
      <c r="C65" t="s">
        <v>826</v>
      </c>
      <c r="D65" s="19">
        <v>20</v>
      </c>
      <c r="E65" s="20"/>
      <c r="F65" s="18"/>
    </row>
    <row r="66" spans="1:6" ht="21" x14ac:dyDescent="0.4">
      <c r="A66" t="s">
        <v>826</v>
      </c>
      <c r="B66" s="6" t="s">
        <v>1302</v>
      </c>
      <c r="C66" t="s">
        <v>826</v>
      </c>
      <c r="D66" s="19">
        <v>25</v>
      </c>
      <c r="E66" s="20"/>
      <c r="F66" s="18">
        <v>11</v>
      </c>
    </row>
    <row r="67" spans="1:6" ht="21" x14ac:dyDescent="0.4">
      <c r="A67" t="s">
        <v>826</v>
      </c>
      <c r="B67" s="6" t="s">
        <v>1315</v>
      </c>
      <c r="C67" t="s">
        <v>826</v>
      </c>
      <c r="D67" s="19">
        <v>20</v>
      </c>
      <c r="E67" s="20"/>
      <c r="F67" s="18">
        <v>11</v>
      </c>
    </row>
    <row r="68" spans="1:6" ht="21" x14ac:dyDescent="0.4">
      <c r="A68" s="51" t="s">
        <v>826</v>
      </c>
      <c r="B68" s="52" t="s">
        <v>1375</v>
      </c>
      <c r="C68" s="51" t="s">
        <v>826</v>
      </c>
      <c r="D68" s="53">
        <v>20</v>
      </c>
      <c r="E68" s="54" t="s">
        <v>1376</v>
      </c>
      <c r="F68" s="55">
        <v>22</v>
      </c>
    </row>
    <row r="69" spans="1:6" ht="21" x14ac:dyDescent="0.4">
      <c r="A69" s="51" t="s">
        <v>826</v>
      </c>
      <c r="B69" s="52" t="s">
        <v>1377</v>
      </c>
      <c r="C69" s="51" t="s">
        <v>826</v>
      </c>
      <c r="D69" s="53">
        <v>25</v>
      </c>
      <c r="E69" s="54" t="s">
        <v>1376</v>
      </c>
      <c r="F69" s="55">
        <v>3</v>
      </c>
    </row>
    <row r="70" spans="1:6" s="40" customFormat="1" ht="21" x14ac:dyDescent="0.4">
      <c r="A70" t="s">
        <v>826</v>
      </c>
      <c r="B70" s="6" t="s">
        <v>1400</v>
      </c>
      <c r="C70" t="s">
        <v>826</v>
      </c>
      <c r="D70" s="19">
        <v>30</v>
      </c>
      <c r="E70" s="20"/>
      <c r="F70" s="18">
        <v>24</v>
      </c>
    </row>
    <row r="71" spans="1:6" ht="21" x14ac:dyDescent="0.4">
      <c r="A71" t="s">
        <v>833</v>
      </c>
      <c r="B71" s="6" t="s">
        <v>1404</v>
      </c>
      <c r="C71" t="s">
        <v>833</v>
      </c>
      <c r="D71" s="19">
        <v>15</v>
      </c>
      <c r="E71" s="20" t="s">
        <v>1405</v>
      </c>
      <c r="F71" s="18">
        <v>11</v>
      </c>
    </row>
    <row r="72" spans="1:6" ht="21" x14ac:dyDescent="0.4">
      <c r="A72" t="s">
        <v>833</v>
      </c>
      <c r="B72" s="6" t="s">
        <v>1406</v>
      </c>
      <c r="C72" t="s">
        <v>833</v>
      </c>
      <c r="D72" s="19">
        <v>80</v>
      </c>
      <c r="E72" s="20" t="s">
        <v>1407</v>
      </c>
      <c r="F72" s="18">
        <v>9</v>
      </c>
    </row>
    <row r="73" spans="1:6" ht="21" x14ac:dyDescent="0.4">
      <c r="A73" t="s">
        <v>833</v>
      </c>
      <c r="B73" s="6" t="s">
        <v>1531</v>
      </c>
      <c r="C73" t="s">
        <v>833</v>
      </c>
      <c r="D73" s="19">
        <v>150</v>
      </c>
      <c r="E73" s="20"/>
      <c r="F73" s="18"/>
    </row>
    <row r="74" spans="1:6" ht="21" x14ac:dyDescent="0.4">
      <c r="A74" t="s">
        <v>833</v>
      </c>
      <c r="B74" s="6" t="s">
        <v>1532</v>
      </c>
      <c r="C74" t="s">
        <v>833</v>
      </c>
      <c r="D74" s="19">
        <v>25</v>
      </c>
      <c r="E74" s="20" t="s">
        <v>1533</v>
      </c>
      <c r="F74" s="18"/>
    </row>
    <row r="75" spans="1:6" ht="21" x14ac:dyDescent="0.4">
      <c r="A75" t="s">
        <v>833</v>
      </c>
      <c r="B75" s="6" t="s">
        <v>1534</v>
      </c>
      <c r="C75" t="s">
        <v>833</v>
      </c>
      <c r="D75" s="19">
        <v>15</v>
      </c>
      <c r="E75" s="20" t="s">
        <v>1535</v>
      </c>
      <c r="F75" s="18"/>
    </row>
    <row r="76" spans="1:6" ht="21" x14ac:dyDescent="0.4">
      <c r="A76" t="s">
        <v>833</v>
      </c>
      <c r="B76" s="6" t="s">
        <v>1536</v>
      </c>
      <c r="C76" t="s">
        <v>833</v>
      </c>
      <c r="D76" s="19">
        <v>15</v>
      </c>
      <c r="E76" s="20"/>
      <c r="F76" s="18"/>
    </row>
    <row r="77" spans="1:6" ht="21" x14ac:dyDescent="0.4">
      <c r="A77" t="s">
        <v>843</v>
      </c>
      <c r="B77" s="6" t="s">
        <v>1294</v>
      </c>
      <c r="C77" t="s">
        <v>843</v>
      </c>
      <c r="D77" s="19">
        <v>20</v>
      </c>
      <c r="E77" s="20" t="s">
        <v>1295</v>
      </c>
      <c r="F77" s="18">
        <v>25</v>
      </c>
    </row>
    <row r="78" spans="1:6" ht="21" x14ac:dyDescent="0.4">
      <c r="A78" t="s">
        <v>843</v>
      </c>
      <c r="B78" s="11" t="s">
        <v>1539</v>
      </c>
      <c r="C78" t="s">
        <v>843</v>
      </c>
      <c r="D78" s="21">
        <v>15</v>
      </c>
      <c r="E78" s="22"/>
      <c r="F78" s="23">
        <v>56</v>
      </c>
    </row>
    <row r="79" spans="1:6" ht="21" x14ac:dyDescent="0.4">
      <c r="A79" t="s">
        <v>843</v>
      </c>
      <c r="B79" s="6" t="s">
        <v>1370</v>
      </c>
      <c r="C79" t="s">
        <v>843</v>
      </c>
      <c r="D79" s="19">
        <v>20</v>
      </c>
      <c r="E79" s="20" t="s">
        <v>1371</v>
      </c>
      <c r="F79" s="18">
        <v>15</v>
      </c>
    </row>
    <row r="80" spans="1:6" ht="21" x14ac:dyDescent="0.4">
      <c r="A80" t="s">
        <v>843</v>
      </c>
      <c r="B80" s="6" t="s">
        <v>1372</v>
      </c>
      <c r="C80" t="s">
        <v>843</v>
      </c>
      <c r="D80" s="19">
        <v>20</v>
      </c>
      <c r="E80" s="20" t="s">
        <v>1371</v>
      </c>
      <c r="F80" s="18">
        <v>15</v>
      </c>
    </row>
    <row r="81" spans="1:6" s="40" customFormat="1" ht="21" x14ac:dyDescent="0.4">
      <c r="A81" t="s">
        <v>850</v>
      </c>
      <c r="B81" s="6" t="s">
        <v>1272</v>
      </c>
      <c r="C81" t="s">
        <v>850</v>
      </c>
      <c r="D81" s="19">
        <v>55</v>
      </c>
      <c r="E81" s="20"/>
      <c r="F81" s="18">
        <v>15</v>
      </c>
    </row>
    <row r="82" spans="1:6" ht="21" x14ac:dyDescent="0.4">
      <c r="A82" s="35" t="s">
        <v>850</v>
      </c>
      <c r="B82" s="36" t="s">
        <v>1538</v>
      </c>
      <c r="C82" s="35" t="s">
        <v>850</v>
      </c>
      <c r="D82" s="37">
        <v>7</v>
      </c>
      <c r="E82" s="38"/>
      <c r="F82" s="39"/>
    </row>
    <row r="83" spans="1:6" ht="21" x14ac:dyDescent="0.4">
      <c r="A83" t="s">
        <v>850</v>
      </c>
      <c r="B83" s="11" t="s">
        <v>1321</v>
      </c>
      <c r="C83" t="s">
        <v>850</v>
      </c>
      <c r="D83" s="21">
        <v>15</v>
      </c>
      <c r="E83" s="22"/>
      <c r="F83" s="23">
        <v>58</v>
      </c>
    </row>
    <row r="84" spans="1:6" ht="21" x14ac:dyDescent="0.4">
      <c r="A84" s="40" t="s">
        <v>850</v>
      </c>
      <c r="B84" s="41" t="s">
        <v>1537</v>
      </c>
      <c r="C84" s="40" t="s">
        <v>850</v>
      </c>
      <c r="D84" s="42">
        <v>85</v>
      </c>
      <c r="E84" s="43"/>
      <c r="F84" s="44"/>
    </row>
    <row r="85" spans="1:6" ht="21" x14ac:dyDescent="0.4">
      <c r="A85" t="s">
        <v>861</v>
      </c>
      <c r="B85" s="6" t="s">
        <v>1210</v>
      </c>
      <c r="C85" t="s">
        <v>861</v>
      </c>
      <c r="D85" s="19">
        <v>30</v>
      </c>
      <c r="E85" s="20"/>
      <c r="F85" s="18">
        <v>31</v>
      </c>
    </row>
    <row r="86" spans="1:6" ht="21" x14ac:dyDescent="0.4">
      <c r="A86" t="s">
        <v>861</v>
      </c>
      <c r="B86" s="6" t="s">
        <v>1288</v>
      </c>
      <c r="C86" t="s">
        <v>861</v>
      </c>
      <c r="D86" s="19">
        <v>150</v>
      </c>
      <c r="E86" s="20" t="s">
        <v>1289</v>
      </c>
      <c r="F86" s="18">
        <v>24</v>
      </c>
    </row>
    <row r="87" spans="1:6" ht="21" x14ac:dyDescent="0.4">
      <c r="A87" t="s">
        <v>861</v>
      </c>
      <c r="B87" s="6" t="s">
        <v>1290</v>
      </c>
      <c r="C87" t="s">
        <v>861</v>
      </c>
      <c r="D87" s="19">
        <v>60</v>
      </c>
      <c r="E87" s="20" t="s">
        <v>1291</v>
      </c>
      <c r="F87" s="18">
        <v>4</v>
      </c>
    </row>
    <row r="88" spans="1:6" s="40" customFormat="1" ht="21" x14ac:dyDescent="0.4">
      <c r="A88" s="4" t="s">
        <v>861</v>
      </c>
      <c r="B88" s="11" t="s">
        <v>1307</v>
      </c>
      <c r="C88" s="4" t="s">
        <v>861</v>
      </c>
      <c r="D88" s="21">
        <v>20</v>
      </c>
      <c r="E88" s="22"/>
      <c r="F88" s="23">
        <v>4</v>
      </c>
    </row>
    <row r="89" spans="1:6" ht="21" x14ac:dyDescent="0.4">
      <c r="A89" t="s">
        <v>861</v>
      </c>
      <c r="B89" s="6" t="s">
        <v>1410</v>
      </c>
      <c r="C89" t="s">
        <v>861</v>
      </c>
      <c r="D89" s="19">
        <v>15</v>
      </c>
      <c r="E89" s="20"/>
      <c r="F89" s="18">
        <v>3</v>
      </c>
    </row>
    <row r="90" spans="1:6" s="40" customFormat="1" ht="21" x14ac:dyDescent="0.4">
      <c r="A90" t="s">
        <v>861</v>
      </c>
      <c r="B90" s="6" t="s">
        <v>1425</v>
      </c>
      <c r="C90" t="s">
        <v>861</v>
      </c>
      <c r="D90" s="19">
        <v>30</v>
      </c>
      <c r="E90" s="20" t="s">
        <v>1426</v>
      </c>
      <c r="F90" s="18">
        <v>4</v>
      </c>
    </row>
    <row r="91" spans="1:6" ht="21" x14ac:dyDescent="0.4">
      <c r="A91" t="s">
        <v>1544</v>
      </c>
      <c r="B91" s="6" t="s">
        <v>1173</v>
      </c>
      <c r="C91" t="s">
        <v>1544</v>
      </c>
      <c r="D91" s="19">
        <v>25</v>
      </c>
      <c r="E91" s="20"/>
      <c r="F91" s="18">
        <v>42</v>
      </c>
    </row>
    <row r="92" spans="1:6" ht="21" x14ac:dyDescent="0.4">
      <c r="A92" t="s">
        <v>1544</v>
      </c>
      <c r="B92" s="6" t="s">
        <v>1178</v>
      </c>
      <c r="C92" t="s">
        <v>1544</v>
      </c>
      <c r="D92" s="19">
        <v>105</v>
      </c>
      <c r="E92" s="20"/>
      <c r="F92" s="18">
        <v>23</v>
      </c>
    </row>
    <row r="93" spans="1:6" ht="21" x14ac:dyDescent="0.4">
      <c r="A93" t="s">
        <v>1544</v>
      </c>
      <c r="B93" s="6" t="s">
        <v>1179</v>
      </c>
      <c r="C93" t="s">
        <v>1544</v>
      </c>
      <c r="D93" s="19">
        <v>45</v>
      </c>
      <c r="E93" s="20"/>
      <c r="F93" s="18">
        <v>23</v>
      </c>
    </row>
    <row r="94" spans="1:6" ht="21" x14ac:dyDescent="0.4">
      <c r="A94" t="s">
        <v>1544</v>
      </c>
      <c r="B94" s="9" t="s">
        <v>1545</v>
      </c>
      <c r="C94" t="s">
        <v>1544</v>
      </c>
      <c r="D94" s="28">
        <v>45</v>
      </c>
      <c r="E94" s="29"/>
      <c r="F94" s="30">
        <v>2</v>
      </c>
    </row>
    <row r="95" spans="1:6" s="35" customFormat="1" ht="21" x14ac:dyDescent="0.4">
      <c r="A95" t="s">
        <v>1544</v>
      </c>
      <c r="B95" s="11" t="s">
        <v>1340</v>
      </c>
      <c r="C95" t="s">
        <v>1544</v>
      </c>
      <c r="D95" s="21">
        <v>95</v>
      </c>
      <c r="E95" s="22"/>
      <c r="F95" s="23">
        <v>53</v>
      </c>
    </row>
    <row r="96" spans="1:6" ht="21" x14ac:dyDescent="0.4">
      <c r="A96" t="s">
        <v>1540</v>
      </c>
      <c r="B96" s="6" t="s">
        <v>1246</v>
      </c>
      <c r="C96" t="s">
        <v>1540</v>
      </c>
      <c r="D96" s="19">
        <v>105</v>
      </c>
      <c r="E96" s="20"/>
      <c r="F96" s="18">
        <v>8</v>
      </c>
    </row>
    <row r="97" spans="1:6" s="40" customFormat="1" ht="21" x14ac:dyDescent="0.4">
      <c r="A97" t="s">
        <v>1540</v>
      </c>
      <c r="B97" s="6" t="s">
        <v>1247</v>
      </c>
      <c r="C97" t="s">
        <v>1540</v>
      </c>
      <c r="D97" s="19">
        <v>80</v>
      </c>
      <c r="E97" s="20"/>
      <c r="F97" s="18">
        <v>8</v>
      </c>
    </row>
    <row r="98" spans="1:6" ht="21" x14ac:dyDescent="0.4">
      <c r="A98" t="s">
        <v>1540</v>
      </c>
      <c r="B98" s="6" t="s">
        <v>1248</v>
      </c>
      <c r="C98" t="s">
        <v>1540</v>
      </c>
      <c r="D98" s="19">
        <v>45</v>
      </c>
      <c r="E98" s="20"/>
      <c r="F98" s="18">
        <v>9</v>
      </c>
    </row>
    <row r="99" spans="1:6" ht="21" x14ac:dyDescent="0.4">
      <c r="A99" t="s">
        <v>1540</v>
      </c>
      <c r="B99" s="11" t="s">
        <v>1252</v>
      </c>
      <c r="C99" t="s">
        <v>1540</v>
      </c>
      <c r="D99" s="21">
        <v>55</v>
      </c>
      <c r="E99" s="22"/>
      <c r="F99" s="23">
        <v>53</v>
      </c>
    </row>
    <row r="100" spans="1:6" ht="21" x14ac:dyDescent="0.4">
      <c r="A100" t="s">
        <v>1540</v>
      </c>
      <c r="B100" s="11" t="s">
        <v>1541</v>
      </c>
      <c r="C100" t="s">
        <v>1540</v>
      </c>
      <c r="D100" s="21">
        <v>75</v>
      </c>
      <c r="E100" s="22" t="s">
        <v>1542</v>
      </c>
      <c r="F100" s="23"/>
    </row>
    <row r="101" spans="1:6" ht="21" x14ac:dyDescent="0.4">
      <c r="A101" t="s">
        <v>1540</v>
      </c>
      <c r="B101" s="11" t="s">
        <v>1543</v>
      </c>
      <c r="C101" t="s">
        <v>1540</v>
      </c>
      <c r="D101" s="21">
        <v>70</v>
      </c>
      <c r="E101" s="22"/>
      <c r="F101" s="23"/>
    </row>
    <row r="102" spans="1:6" ht="21" x14ac:dyDescent="0.4">
      <c r="A102" t="s">
        <v>1548</v>
      </c>
      <c r="B102" s="11" t="s">
        <v>1549</v>
      </c>
      <c r="C102" t="s">
        <v>1548</v>
      </c>
      <c r="D102" s="21">
        <v>70</v>
      </c>
      <c r="E102" s="22"/>
      <c r="F102" s="23">
        <v>1</v>
      </c>
    </row>
    <row r="103" spans="1:6" ht="21" x14ac:dyDescent="0.4">
      <c r="A103" t="s">
        <v>1548</v>
      </c>
      <c r="B103" s="11" t="s">
        <v>1551</v>
      </c>
      <c r="C103" t="s">
        <v>1548</v>
      </c>
      <c r="D103" s="21">
        <v>55</v>
      </c>
      <c r="E103" s="22"/>
      <c r="F103" s="23">
        <v>14</v>
      </c>
    </row>
    <row r="104" spans="1:6" ht="21" x14ac:dyDescent="0.4">
      <c r="A104" t="s">
        <v>1548</v>
      </c>
      <c r="B104" s="11" t="s">
        <v>1550</v>
      </c>
      <c r="C104" t="s">
        <v>1548</v>
      </c>
      <c r="D104" s="21">
        <v>70</v>
      </c>
      <c r="E104" s="22"/>
      <c r="F104" s="23"/>
    </row>
    <row r="105" spans="1:6" ht="21" x14ac:dyDescent="0.4">
      <c r="A105" t="s">
        <v>1546</v>
      </c>
      <c r="B105" s="11" t="s">
        <v>1245</v>
      </c>
      <c r="C105" t="s">
        <v>1546</v>
      </c>
      <c r="D105" s="21">
        <v>115</v>
      </c>
      <c r="E105" s="22"/>
      <c r="F105" s="23">
        <v>33</v>
      </c>
    </row>
    <row r="106" spans="1:6" ht="21" x14ac:dyDescent="0.4">
      <c r="A106" t="s">
        <v>1546</v>
      </c>
      <c r="B106" s="11" t="s">
        <v>1319</v>
      </c>
      <c r="C106" t="s">
        <v>1546</v>
      </c>
      <c r="D106" s="21">
        <v>75</v>
      </c>
      <c r="E106" s="22"/>
      <c r="F106" s="23">
        <v>57</v>
      </c>
    </row>
    <row r="107" spans="1:6" s="35" customFormat="1" ht="21" x14ac:dyDescent="0.4">
      <c r="A107" t="s">
        <v>1546</v>
      </c>
      <c r="B107" s="6" t="s">
        <v>1366</v>
      </c>
      <c r="C107" t="s">
        <v>1546</v>
      </c>
      <c r="D107" s="19">
        <v>45</v>
      </c>
      <c r="E107" s="20"/>
      <c r="F107" s="18">
        <v>33</v>
      </c>
    </row>
    <row r="108" spans="1:6" ht="21" x14ac:dyDescent="0.4">
      <c r="A108" t="s">
        <v>1553</v>
      </c>
      <c r="B108" s="24" t="s">
        <v>1186</v>
      </c>
      <c r="C108" t="s">
        <v>1553</v>
      </c>
      <c r="D108" s="25">
        <v>20</v>
      </c>
      <c r="E108" s="26" t="s">
        <v>1187</v>
      </c>
      <c r="F108" s="27">
        <v>3</v>
      </c>
    </row>
    <row r="109" spans="1:6" ht="21" x14ac:dyDescent="0.4">
      <c r="A109" t="s">
        <v>1553</v>
      </c>
      <c r="B109" s="11" t="s">
        <v>1192</v>
      </c>
      <c r="C109" t="s">
        <v>1553</v>
      </c>
      <c r="D109" s="21">
        <v>25</v>
      </c>
      <c r="E109" s="22" t="s">
        <v>1193</v>
      </c>
      <c r="F109" s="23">
        <v>55</v>
      </c>
    </row>
    <row r="110" spans="1:6" ht="21" x14ac:dyDescent="0.4">
      <c r="A110" t="s">
        <v>1553</v>
      </c>
      <c r="B110" s="11" t="s">
        <v>1194</v>
      </c>
      <c r="C110" t="s">
        <v>1553</v>
      </c>
      <c r="D110" s="21">
        <v>5</v>
      </c>
      <c r="E110" s="22" t="s">
        <v>1195</v>
      </c>
      <c r="F110" s="23">
        <v>54</v>
      </c>
    </row>
    <row r="111" spans="1:6" ht="21" x14ac:dyDescent="0.4">
      <c r="A111" t="s">
        <v>1553</v>
      </c>
      <c r="B111" s="11" t="s">
        <v>1196</v>
      </c>
      <c r="C111" t="s">
        <v>1553</v>
      </c>
      <c r="D111" s="21">
        <v>7</v>
      </c>
      <c r="E111" s="22" t="s">
        <v>1197</v>
      </c>
      <c r="F111" s="23">
        <v>54</v>
      </c>
    </row>
    <row r="112" spans="1:6" ht="21" x14ac:dyDescent="0.4">
      <c r="A112" t="s">
        <v>1553</v>
      </c>
      <c r="B112" s="6" t="s">
        <v>1343</v>
      </c>
      <c r="C112" t="s">
        <v>1553</v>
      </c>
      <c r="D112" s="19">
        <v>10</v>
      </c>
      <c r="E112" s="20" t="s">
        <v>1344</v>
      </c>
      <c r="F112" s="18">
        <v>1</v>
      </c>
    </row>
    <row r="113" spans="1:6" ht="21" x14ac:dyDescent="0.4">
      <c r="A113" t="s">
        <v>1553</v>
      </c>
      <c r="B113" s="31" t="s">
        <v>1353</v>
      </c>
      <c r="C113" t="s">
        <v>1553</v>
      </c>
      <c r="D113" s="32">
        <v>10</v>
      </c>
      <c r="E113" s="33" t="s">
        <v>1354</v>
      </c>
      <c r="F113" s="34">
        <v>1</v>
      </c>
    </row>
    <row r="114" spans="1:6" ht="21" x14ac:dyDescent="0.4">
      <c r="A114" t="s">
        <v>1552</v>
      </c>
      <c r="B114" s="6" t="s">
        <v>1277</v>
      </c>
      <c r="C114" t="s">
        <v>1552</v>
      </c>
      <c r="D114" s="19">
        <v>25</v>
      </c>
      <c r="E114" s="20"/>
      <c r="F114" s="18">
        <v>24</v>
      </c>
    </row>
    <row r="115" spans="1:6" ht="21" x14ac:dyDescent="0.4">
      <c r="A115" s="4" t="s">
        <v>1552</v>
      </c>
      <c r="B115" s="11" t="s">
        <v>1306</v>
      </c>
      <c r="C115" s="4" t="s">
        <v>1552</v>
      </c>
      <c r="D115" s="21">
        <v>15</v>
      </c>
      <c r="E115" s="22"/>
      <c r="F115" s="23">
        <v>25</v>
      </c>
    </row>
    <row r="116" spans="1:6" s="40" customFormat="1" ht="21" x14ac:dyDescent="0.4">
      <c r="A116" t="s">
        <v>1552</v>
      </c>
      <c r="B116" s="6" t="s">
        <v>1411</v>
      </c>
      <c r="C116" t="s">
        <v>1552</v>
      </c>
      <c r="D116" s="19">
        <v>15</v>
      </c>
      <c r="E116" s="20" t="s">
        <v>1412</v>
      </c>
      <c r="F116" s="18">
        <v>22</v>
      </c>
    </row>
    <row r="117" spans="1:6" ht="21" x14ac:dyDescent="0.4">
      <c r="A117" t="s">
        <v>1547</v>
      </c>
      <c r="B117" s="6" t="s">
        <v>1230</v>
      </c>
      <c r="C117" t="s">
        <v>1547</v>
      </c>
      <c r="D117" s="19">
        <v>30</v>
      </c>
      <c r="E117" s="20"/>
      <c r="F117" s="18">
        <v>11</v>
      </c>
    </row>
    <row r="118" spans="1:6" ht="21" x14ac:dyDescent="0.4">
      <c r="A118" t="s">
        <v>1547</v>
      </c>
      <c r="B118" s="6" t="s">
        <v>1413</v>
      </c>
      <c r="C118" t="s">
        <v>1547</v>
      </c>
      <c r="D118" s="19">
        <v>15</v>
      </c>
      <c r="E118" s="20" t="s">
        <v>1414</v>
      </c>
      <c r="F118" s="18">
        <v>22</v>
      </c>
    </row>
    <row r="119" spans="1:6" ht="21" x14ac:dyDescent="0.4">
      <c r="A119" t="s">
        <v>1547</v>
      </c>
      <c r="B119" s="9" t="s">
        <v>1416</v>
      </c>
      <c r="C119" t="s">
        <v>1547</v>
      </c>
      <c r="D119" s="28">
        <v>10</v>
      </c>
      <c r="E119" s="29"/>
      <c r="F119" s="30">
        <v>25</v>
      </c>
    </row>
    <row r="120" spans="1:6" ht="21" x14ac:dyDescent="0.4">
      <c r="A120" t="s">
        <v>1547</v>
      </c>
      <c r="B120" s="6" t="s">
        <v>1432</v>
      </c>
      <c r="C120" t="s">
        <v>1547</v>
      </c>
      <c r="D120" s="19">
        <v>15</v>
      </c>
      <c r="E120" s="20" t="s">
        <v>1412</v>
      </c>
      <c r="F120" s="18">
        <v>22</v>
      </c>
    </row>
    <row r="121" spans="1:6" ht="21" x14ac:dyDescent="0.4">
      <c r="A121" t="s">
        <v>1547</v>
      </c>
      <c r="B121" s="6" t="s">
        <v>1433</v>
      </c>
      <c r="C121" t="s">
        <v>1547</v>
      </c>
      <c r="D121" s="19">
        <v>15</v>
      </c>
      <c r="E121" s="20" t="s">
        <v>1434</v>
      </c>
      <c r="F121" s="18">
        <v>22</v>
      </c>
    </row>
    <row r="122" spans="1:6" s="40" customFormat="1" ht="21" x14ac:dyDescent="0.4">
      <c r="A122" t="s">
        <v>1564</v>
      </c>
      <c r="B122" s="11" t="s">
        <v>1255</v>
      </c>
      <c r="C122" t="s">
        <v>1564</v>
      </c>
      <c r="D122" s="21">
        <v>35</v>
      </c>
      <c r="E122" s="22"/>
      <c r="F122" s="23">
        <v>56</v>
      </c>
    </row>
    <row r="123" spans="1:6" s="4" customFormat="1" ht="21" x14ac:dyDescent="0.4">
      <c r="A123" t="s">
        <v>1564</v>
      </c>
      <c r="B123" s="6" t="s">
        <v>1402</v>
      </c>
      <c r="C123" t="s">
        <v>1564</v>
      </c>
      <c r="D123" s="19">
        <v>10</v>
      </c>
      <c r="E123" s="20"/>
      <c r="F123" s="18">
        <v>25</v>
      </c>
    </row>
    <row r="124" spans="1:6" s="4" customFormat="1" ht="21" x14ac:dyDescent="0.4">
      <c r="A124" t="s">
        <v>1564</v>
      </c>
      <c r="B124" s="6" t="s">
        <v>1417</v>
      </c>
      <c r="C124" t="s">
        <v>1564</v>
      </c>
      <c r="D124" s="19">
        <v>12</v>
      </c>
      <c r="E124" s="20"/>
      <c r="F124" s="18">
        <v>10</v>
      </c>
    </row>
    <row r="125" spans="1:6" ht="21" x14ac:dyDescent="0.4">
      <c r="A125" t="s">
        <v>1564</v>
      </c>
      <c r="B125" s="6" t="s">
        <v>1428</v>
      </c>
      <c r="C125" t="s">
        <v>1564</v>
      </c>
      <c r="D125" s="19">
        <v>35</v>
      </c>
      <c r="E125" s="20" t="s">
        <v>1429</v>
      </c>
      <c r="F125" s="18">
        <v>24</v>
      </c>
    </row>
    <row r="126" spans="1:6" s="40" customFormat="1" ht="21" x14ac:dyDescent="0.4">
      <c r="A126" t="s">
        <v>1564</v>
      </c>
      <c r="B126" s="11" t="s">
        <v>1560</v>
      </c>
      <c r="C126" t="s">
        <v>1564</v>
      </c>
      <c r="D126" s="21">
        <v>25</v>
      </c>
      <c r="E126" s="22"/>
      <c r="F126" s="23">
        <v>56</v>
      </c>
    </row>
    <row r="127" spans="1:6" ht="21" x14ac:dyDescent="0.4">
      <c r="A127" t="s">
        <v>1564</v>
      </c>
      <c r="B127" s="6" t="s">
        <v>1469</v>
      </c>
      <c r="C127" t="s">
        <v>1564</v>
      </c>
      <c r="D127" s="19">
        <v>35</v>
      </c>
      <c r="E127" s="20" t="s">
        <v>1470</v>
      </c>
      <c r="F127" s="18">
        <v>15</v>
      </c>
    </row>
    <row r="128" spans="1:6" ht="21" x14ac:dyDescent="0.4">
      <c r="A128" t="s">
        <v>1566</v>
      </c>
      <c r="B128" s="11" t="s">
        <v>1558</v>
      </c>
      <c r="C128" t="s">
        <v>1566</v>
      </c>
      <c r="D128" s="21">
        <v>35</v>
      </c>
      <c r="E128" s="22" t="s">
        <v>1438</v>
      </c>
      <c r="F128" s="23">
        <v>54</v>
      </c>
    </row>
    <row r="129" spans="1:6" ht="21" x14ac:dyDescent="0.4">
      <c r="A129" t="s">
        <v>1566</v>
      </c>
      <c r="B129" s="11" t="s">
        <v>1556</v>
      </c>
      <c r="C129" t="s">
        <v>1566</v>
      </c>
      <c r="D129" s="21">
        <v>55</v>
      </c>
      <c r="E129" s="22" t="s">
        <v>1557</v>
      </c>
      <c r="F129" s="23"/>
    </row>
    <row r="130" spans="1:6" ht="21" x14ac:dyDescent="0.4">
      <c r="A130" t="s">
        <v>1566</v>
      </c>
      <c r="B130" s="11" t="s">
        <v>1559</v>
      </c>
      <c r="C130" t="s">
        <v>1566</v>
      </c>
      <c r="D130" s="21">
        <v>30</v>
      </c>
      <c r="E130" s="22"/>
      <c r="F130" s="23"/>
    </row>
    <row r="131" spans="1:6" ht="21" x14ac:dyDescent="0.4">
      <c r="A131" t="s">
        <v>1565</v>
      </c>
      <c r="B131" s="11" t="s">
        <v>1561</v>
      </c>
      <c r="C131" t="s">
        <v>1565</v>
      </c>
      <c r="D131" s="21">
        <v>85</v>
      </c>
      <c r="E131" s="22"/>
      <c r="F131" s="23"/>
    </row>
    <row r="132" spans="1:6" ht="21" x14ac:dyDescent="0.4">
      <c r="A132" t="s">
        <v>1565</v>
      </c>
      <c r="B132" s="11" t="s">
        <v>1562</v>
      </c>
      <c r="C132" t="s">
        <v>1565</v>
      </c>
      <c r="D132" s="21">
        <v>45</v>
      </c>
      <c r="E132" s="22"/>
      <c r="F132" s="23"/>
    </row>
    <row r="133" spans="1:6" ht="21" x14ac:dyDescent="0.4">
      <c r="A133" t="s">
        <v>1565</v>
      </c>
      <c r="B133" s="11" t="s">
        <v>1563</v>
      </c>
      <c r="C133" t="s">
        <v>1565</v>
      </c>
      <c r="D133" s="21">
        <v>350</v>
      </c>
      <c r="E133" s="22"/>
      <c r="F133" s="23"/>
    </row>
    <row r="134" spans="1:6" ht="21" x14ac:dyDescent="0.4">
      <c r="A134" t="s">
        <v>1567</v>
      </c>
      <c r="B134" s="11" t="s">
        <v>1555</v>
      </c>
      <c r="C134" t="s">
        <v>1567</v>
      </c>
      <c r="D134" s="21">
        <v>320</v>
      </c>
      <c r="E134" s="22"/>
      <c r="F134" s="23"/>
    </row>
    <row r="135" spans="1:6" ht="21" x14ac:dyDescent="0.4">
      <c r="A135" t="s">
        <v>1567</v>
      </c>
      <c r="B135" s="11" t="s">
        <v>1554</v>
      </c>
      <c r="C135" t="s">
        <v>1567</v>
      </c>
      <c r="D135" s="21">
        <v>220</v>
      </c>
      <c r="E135" s="22"/>
      <c r="F135" s="23"/>
    </row>
    <row r="136" spans="1:6" ht="21" x14ac:dyDescent="0.4">
      <c r="B136" s="11"/>
      <c r="C136" s="11"/>
      <c r="D136" s="21"/>
      <c r="E136" s="22"/>
      <c r="F136" s="23"/>
    </row>
    <row r="137" spans="1:6" ht="21" x14ac:dyDescent="0.4">
      <c r="B137" s="6" t="s">
        <v>1152</v>
      </c>
      <c r="C137" s="6"/>
      <c r="D137" s="19">
        <v>10</v>
      </c>
      <c r="E137" s="20"/>
      <c r="F137" s="18">
        <v>20</v>
      </c>
    </row>
    <row r="138" spans="1:6" ht="21" x14ac:dyDescent="0.4">
      <c r="B138" s="6" t="s">
        <v>1153</v>
      </c>
      <c r="C138" s="6"/>
      <c r="D138" s="19">
        <v>35</v>
      </c>
      <c r="E138" s="20"/>
      <c r="F138" s="18">
        <v>20</v>
      </c>
    </row>
    <row r="139" spans="1:6" ht="21" x14ac:dyDescent="0.4">
      <c r="B139" s="6" t="s">
        <v>1154</v>
      </c>
      <c r="C139" s="6"/>
      <c r="D139" s="19">
        <v>27</v>
      </c>
      <c r="E139" s="20" t="s">
        <v>1155</v>
      </c>
      <c r="F139" s="18">
        <v>7</v>
      </c>
    </row>
    <row r="140" spans="1:6" ht="21" x14ac:dyDescent="0.4">
      <c r="B140" s="6" t="s">
        <v>1154</v>
      </c>
      <c r="C140" s="6"/>
      <c r="D140" s="19">
        <v>15</v>
      </c>
      <c r="E140" s="20"/>
      <c r="F140" s="18">
        <v>20</v>
      </c>
    </row>
    <row r="141" spans="1:6" ht="21" x14ac:dyDescent="0.4">
      <c r="B141" s="6" t="s">
        <v>1156</v>
      </c>
      <c r="C141" s="6"/>
      <c r="D141" s="19">
        <v>18</v>
      </c>
      <c r="E141" s="20" t="s">
        <v>1157</v>
      </c>
      <c r="F141" s="18">
        <v>50</v>
      </c>
    </row>
    <row r="142" spans="1:6" ht="21" x14ac:dyDescent="0.4">
      <c r="B142" s="6" t="s">
        <v>170</v>
      </c>
      <c r="C142" s="6"/>
      <c r="D142" s="19">
        <v>35</v>
      </c>
      <c r="E142" s="20" t="s">
        <v>1158</v>
      </c>
      <c r="F142" s="18">
        <v>50</v>
      </c>
    </row>
    <row r="143" spans="1:6" ht="21" x14ac:dyDescent="0.4">
      <c r="B143" s="6" t="s">
        <v>434</v>
      </c>
      <c r="C143" s="6"/>
      <c r="D143" s="19">
        <v>75</v>
      </c>
      <c r="E143" s="20" t="s">
        <v>1159</v>
      </c>
      <c r="F143" s="18">
        <v>50</v>
      </c>
    </row>
    <row r="144" spans="1:6" ht="21" x14ac:dyDescent="0.4">
      <c r="B144" s="6" t="s">
        <v>1160</v>
      </c>
      <c r="C144" s="6"/>
      <c r="D144" s="19">
        <v>120</v>
      </c>
      <c r="E144" s="20" t="s">
        <v>1161</v>
      </c>
      <c r="F144" s="18">
        <v>51</v>
      </c>
    </row>
    <row r="145" spans="1:6" ht="21" x14ac:dyDescent="0.4">
      <c r="B145" s="6" t="s">
        <v>1162</v>
      </c>
      <c r="C145" s="6"/>
      <c r="D145" s="19">
        <v>25</v>
      </c>
      <c r="E145" s="20" t="s">
        <v>1163</v>
      </c>
      <c r="F145" s="18">
        <v>51</v>
      </c>
    </row>
    <row r="146" spans="1:6" ht="21" x14ac:dyDescent="0.4">
      <c r="B146" s="6" t="s">
        <v>1164</v>
      </c>
      <c r="C146" s="6"/>
      <c r="D146" s="19">
        <v>70</v>
      </c>
      <c r="E146" s="20" t="s">
        <v>1165</v>
      </c>
      <c r="F146" s="18">
        <v>51</v>
      </c>
    </row>
    <row r="147" spans="1:6" ht="21" x14ac:dyDescent="0.4">
      <c r="B147" s="11" t="s">
        <v>1166</v>
      </c>
      <c r="C147" s="11"/>
      <c r="D147" s="21">
        <v>30</v>
      </c>
      <c r="E147" s="22"/>
      <c r="F147" s="23">
        <v>54</v>
      </c>
    </row>
    <row r="148" spans="1:6" ht="21" x14ac:dyDescent="0.4">
      <c r="B148" s="11" t="s">
        <v>1167</v>
      </c>
      <c r="C148" s="11"/>
      <c r="D148" s="21">
        <v>25</v>
      </c>
      <c r="E148" s="22"/>
      <c r="F148" s="23">
        <v>57</v>
      </c>
    </row>
    <row r="149" spans="1:6" ht="21" x14ac:dyDescent="0.4">
      <c r="B149" s="11" t="s">
        <v>1168</v>
      </c>
      <c r="C149" s="11"/>
      <c r="D149" s="21">
        <v>40</v>
      </c>
      <c r="E149" s="22" t="s">
        <v>1169</v>
      </c>
      <c r="F149" s="23">
        <v>54</v>
      </c>
    </row>
    <row r="150" spans="1:6" ht="21" x14ac:dyDescent="0.4">
      <c r="B150" s="6" t="s">
        <v>1170</v>
      </c>
      <c r="C150" s="6"/>
      <c r="D150" s="19">
        <v>80</v>
      </c>
      <c r="E150" s="20"/>
      <c r="F150" s="18">
        <v>36</v>
      </c>
    </row>
    <row r="151" spans="1:6" ht="21" x14ac:dyDescent="0.4">
      <c r="B151" s="6" t="s">
        <v>1171</v>
      </c>
      <c r="C151" s="6"/>
      <c r="D151" s="19">
        <v>50</v>
      </c>
      <c r="E151" s="20"/>
      <c r="F151" s="18">
        <v>42</v>
      </c>
    </row>
    <row r="152" spans="1:6" s="40" customFormat="1" ht="21" x14ac:dyDescent="0.4">
      <c r="A152"/>
      <c r="B152" s="6" t="s">
        <v>1172</v>
      </c>
      <c r="C152" s="6"/>
      <c r="D152" s="19">
        <v>35</v>
      </c>
      <c r="E152" s="20"/>
      <c r="F152" s="18">
        <v>42</v>
      </c>
    </row>
    <row r="153" spans="1:6" ht="21" x14ac:dyDescent="0.4">
      <c r="B153" s="6" t="s">
        <v>1174</v>
      </c>
      <c r="C153" s="6"/>
      <c r="D153" s="19">
        <v>25</v>
      </c>
      <c r="E153" s="20"/>
      <c r="F153" s="18">
        <v>45</v>
      </c>
    </row>
    <row r="154" spans="1:6" ht="21" x14ac:dyDescent="0.4">
      <c r="B154" s="6" t="s">
        <v>1175</v>
      </c>
      <c r="C154" s="6"/>
      <c r="D154" s="19">
        <v>55</v>
      </c>
      <c r="E154" s="20"/>
      <c r="F154" s="18">
        <v>43</v>
      </c>
    </row>
    <row r="155" spans="1:6" ht="21" x14ac:dyDescent="0.4">
      <c r="B155" s="6" t="s">
        <v>1176</v>
      </c>
      <c r="C155" s="6"/>
      <c r="D155" s="19">
        <v>15</v>
      </c>
      <c r="E155" s="20" t="s">
        <v>1177</v>
      </c>
      <c r="F155" s="18">
        <v>1</v>
      </c>
    </row>
    <row r="156" spans="1:6" ht="21" x14ac:dyDescent="0.4">
      <c r="B156" s="11" t="s">
        <v>1180</v>
      </c>
      <c r="C156" s="11"/>
      <c r="D156" s="21">
        <v>40</v>
      </c>
      <c r="E156" s="22"/>
      <c r="F156" s="23">
        <v>59</v>
      </c>
    </row>
    <row r="157" spans="1:6" ht="21" x14ac:dyDescent="0.4">
      <c r="A157" s="40"/>
      <c r="B157" s="41" t="s">
        <v>1183</v>
      </c>
      <c r="C157" s="41"/>
      <c r="D157" s="42">
        <v>25</v>
      </c>
      <c r="E157" s="43" t="s">
        <v>1184</v>
      </c>
      <c r="F157" s="44">
        <v>1</v>
      </c>
    </row>
    <row r="158" spans="1:6" ht="21" x14ac:dyDescent="0.4">
      <c r="B158" s="6" t="s">
        <v>1185</v>
      </c>
      <c r="C158" s="6"/>
      <c r="D158" s="19">
        <v>20</v>
      </c>
      <c r="E158" s="20"/>
      <c r="F158" s="18">
        <v>24</v>
      </c>
    </row>
    <row r="159" spans="1:6" s="51" customFormat="1" ht="21" x14ac:dyDescent="0.4">
      <c r="A159"/>
      <c r="B159" s="11" t="s">
        <v>1189</v>
      </c>
      <c r="C159" s="11"/>
      <c r="D159" s="21">
        <v>35</v>
      </c>
      <c r="E159" s="22"/>
      <c r="F159" s="23">
        <v>54</v>
      </c>
    </row>
    <row r="160" spans="1:6" s="35" customFormat="1" ht="21" x14ac:dyDescent="0.4">
      <c r="A160"/>
      <c r="B160" s="11" t="s">
        <v>1190</v>
      </c>
      <c r="C160" s="11"/>
      <c r="D160" s="21">
        <v>30</v>
      </c>
      <c r="E160" s="22" t="s">
        <v>1191</v>
      </c>
      <c r="F160" s="23">
        <v>55</v>
      </c>
    </row>
    <row r="161" spans="1:6" s="4" customFormat="1" ht="21" x14ac:dyDescent="0.4">
      <c r="A161"/>
      <c r="B161" s="6" t="s">
        <v>1198</v>
      </c>
      <c r="C161" s="6"/>
      <c r="D161" s="19">
        <v>35</v>
      </c>
      <c r="E161" s="20"/>
      <c r="F161" s="18">
        <v>31</v>
      </c>
    </row>
    <row r="162" spans="1:6" ht="21" x14ac:dyDescent="0.4">
      <c r="A162" s="40"/>
      <c r="B162" s="41" t="s">
        <v>1199</v>
      </c>
      <c r="C162" s="41"/>
      <c r="D162" s="42">
        <v>45</v>
      </c>
      <c r="E162" s="43" t="s">
        <v>1200</v>
      </c>
      <c r="F162" s="44">
        <v>46</v>
      </c>
    </row>
    <row r="163" spans="1:6" ht="21" x14ac:dyDescent="0.4">
      <c r="B163" s="11" t="s">
        <v>1202</v>
      </c>
      <c r="C163" s="11"/>
      <c r="D163" s="21">
        <v>20</v>
      </c>
      <c r="E163" s="22" t="s">
        <v>1203</v>
      </c>
      <c r="F163" s="23">
        <v>58</v>
      </c>
    </row>
    <row r="164" spans="1:6" ht="21" x14ac:dyDescent="0.4">
      <c r="B164" s="6" t="s">
        <v>1204</v>
      </c>
      <c r="C164" s="6"/>
      <c r="D164" s="19">
        <v>50</v>
      </c>
      <c r="E164" s="20"/>
      <c r="F164" s="18">
        <v>52</v>
      </c>
    </row>
    <row r="165" spans="1:6" ht="21" x14ac:dyDescent="0.4">
      <c r="B165" s="6" t="s">
        <v>1205</v>
      </c>
      <c r="C165" s="6"/>
      <c r="D165" s="19">
        <v>80</v>
      </c>
      <c r="E165" s="20"/>
      <c r="F165" s="18">
        <v>52</v>
      </c>
    </row>
    <row r="166" spans="1:6" ht="21" x14ac:dyDescent="0.4">
      <c r="B166" s="6" t="s">
        <v>1211</v>
      </c>
      <c r="C166" s="6"/>
      <c r="D166" s="19">
        <v>50</v>
      </c>
      <c r="E166" s="20"/>
      <c r="F166" s="18">
        <v>35</v>
      </c>
    </row>
    <row r="167" spans="1:6" ht="21" x14ac:dyDescent="0.4">
      <c r="B167" s="6" t="s">
        <v>1212</v>
      </c>
      <c r="C167" s="6"/>
      <c r="D167" s="19">
        <v>70</v>
      </c>
      <c r="E167" s="20" t="s">
        <v>1213</v>
      </c>
      <c r="F167" s="18">
        <v>35</v>
      </c>
    </row>
    <row r="168" spans="1:6" ht="21" x14ac:dyDescent="0.4">
      <c r="A168" s="35"/>
      <c r="B168" s="36" t="s">
        <v>1215</v>
      </c>
      <c r="C168" s="36"/>
      <c r="D168" s="37">
        <v>25</v>
      </c>
      <c r="E168" s="38" t="s">
        <v>1216</v>
      </c>
      <c r="F168" s="39">
        <v>7</v>
      </c>
    </row>
    <row r="169" spans="1:6" ht="21" x14ac:dyDescent="0.4">
      <c r="B169" s="31" t="s">
        <v>1222</v>
      </c>
      <c r="C169" s="31"/>
      <c r="D169" s="32">
        <v>25</v>
      </c>
      <c r="E169" s="33"/>
      <c r="F169" s="34">
        <v>17</v>
      </c>
    </row>
    <row r="170" spans="1:6" s="35" customFormat="1" ht="21" x14ac:dyDescent="0.4">
      <c r="A170"/>
      <c r="B170" s="31" t="s">
        <v>1223</v>
      </c>
      <c r="C170" s="31"/>
      <c r="D170" s="32">
        <v>40</v>
      </c>
      <c r="E170" s="33"/>
      <c r="F170" s="34">
        <v>17</v>
      </c>
    </row>
    <row r="171" spans="1:6" s="35" customFormat="1" ht="21" x14ac:dyDescent="0.4">
      <c r="A171"/>
      <c r="B171" s="6" t="s">
        <v>1233</v>
      </c>
      <c r="C171" s="6"/>
      <c r="D171" s="19">
        <v>35</v>
      </c>
      <c r="E171" s="20" t="s">
        <v>1234</v>
      </c>
      <c r="F171" s="18">
        <v>35</v>
      </c>
    </row>
    <row r="172" spans="1:6" s="45" customFormat="1" ht="21" x14ac:dyDescent="0.4">
      <c r="A172"/>
      <c r="B172" s="6" t="s">
        <v>1235</v>
      </c>
      <c r="C172" s="6"/>
      <c r="D172" s="19">
        <v>25</v>
      </c>
      <c r="E172" s="20" t="s">
        <v>1232</v>
      </c>
      <c r="F172" s="18">
        <v>37</v>
      </c>
    </row>
    <row r="173" spans="1:6" ht="21" x14ac:dyDescent="0.4">
      <c r="B173" s="6" t="s">
        <v>1236</v>
      </c>
      <c r="C173" s="6"/>
      <c r="D173" s="19">
        <v>30</v>
      </c>
      <c r="E173" s="20"/>
      <c r="F173" s="18">
        <v>47</v>
      </c>
    </row>
    <row r="174" spans="1:6" ht="21" x14ac:dyDescent="0.4">
      <c r="A174" s="40"/>
      <c r="B174" s="41" t="s">
        <v>1237</v>
      </c>
      <c r="C174" s="41"/>
      <c r="D174" s="42">
        <v>35</v>
      </c>
      <c r="E174" s="50" t="s">
        <v>1238</v>
      </c>
      <c r="F174" s="44">
        <v>6</v>
      </c>
    </row>
    <row r="175" spans="1:6" ht="21" x14ac:dyDescent="0.4">
      <c r="B175" s="6" t="s">
        <v>1239</v>
      </c>
      <c r="C175" s="6"/>
      <c r="D175" s="19">
        <v>30</v>
      </c>
      <c r="E175" s="20" t="s">
        <v>1240</v>
      </c>
      <c r="F175" s="18">
        <v>6</v>
      </c>
    </row>
    <row r="176" spans="1:6" ht="21" x14ac:dyDescent="0.4">
      <c r="B176" s="6" t="s">
        <v>1241</v>
      </c>
      <c r="C176" s="6"/>
      <c r="D176" s="19">
        <v>50</v>
      </c>
      <c r="E176" s="20" t="s">
        <v>1242</v>
      </c>
      <c r="F176" s="18">
        <v>52</v>
      </c>
    </row>
    <row r="177" spans="1:6" ht="21" x14ac:dyDescent="0.4">
      <c r="B177" s="6" t="s">
        <v>1244</v>
      </c>
      <c r="C177" s="6"/>
      <c r="D177" s="19">
        <v>18</v>
      </c>
      <c r="E177" s="20"/>
      <c r="F177" s="18">
        <v>2</v>
      </c>
    </row>
    <row r="178" spans="1:6" ht="21" x14ac:dyDescent="0.4">
      <c r="B178" s="11" t="s">
        <v>1249</v>
      </c>
      <c r="C178" s="11"/>
      <c r="D178" s="21">
        <v>5</v>
      </c>
      <c r="E178" s="22"/>
      <c r="F178" s="23">
        <v>56</v>
      </c>
    </row>
    <row r="179" spans="1:6" s="40" customFormat="1" ht="21" x14ac:dyDescent="0.4">
      <c r="A179"/>
      <c r="B179" s="11" t="s">
        <v>1250</v>
      </c>
      <c r="C179" s="11"/>
      <c r="D179" s="21">
        <v>145</v>
      </c>
      <c r="E179" s="22" t="s">
        <v>1251</v>
      </c>
      <c r="F179" s="23">
        <v>53</v>
      </c>
    </row>
    <row r="180" spans="1:6" s="40" customFormat="1" ht="21" x14ac:dyDescent="0.4">
      <c r="A180"/>
      <c r="B180" s="11" t="s">
        <v>1253</v>
      </c>
      <c r="C180" s="11"/>
      <c r="D180" s="21">
        <v>40</v>
      </c>
      <c r="E180" s="22"/>
      <c r="F180" s="23">
        <v>53</v>
      </c>
    </row>
    <row r="181" spans="1:6" s="40" customFormat="1" ht="21" x14ac:dyDescent="0.4">
      <c r="A181"/>
      <c r="B181" s="6" t="s">
        <v>1254</v>
      </c>
      <c r="C181" s="6"/>
      <c r="D181" s="19">
        <v>180</v>
      </c>
      <c r="E181" s="20"/>
      <c r="F181" s="18">
        <v>24</v>
      </c>
    </row>
    <row r="182" spans="1:6" s="40" customFormat="1" ht="21" x14ac:dyDescent="0.4">
      <c r="B182" s="41" t="s">
        <v>1256</v>
      </c>
      <c r="C182" s="41"/>
      <c r="D182" s="42">
        <v>75</v>
      </c>
      <c r="E182" s="43" t="s">
        <v>1257</v>
      </c>
      <c r="F182" s="44">
        <v>26</v>
      </c>
    </row>
    <row r="183" spans="1:6" ht="21" x14ac:dyDescent="0.4">
      <c r="B183" s="6" t="s">
        <v>1258</v>
      </c>
      <c r="C183" s="6"/>
      <c r="D183" s="19">
        <v>170</v>
      </c>
      <c r="E183" s="20" t="s">
        <v>1259</v>
      </c>
      <c r="F183" s="18">
        <v>49</v>
      </c>
    </row>
    <row r="184" spans="1:6" ht="21" x14ac:dyDescent="0.4">
      <c r="A184" s="40"/>
      <c r="B184" s="41" t="s">
        <v>1260</v>
      </c>
      <c r="C184" s="41"/>
      <c r="D184" s="42">
        <v>30</v>
      </c>
      <c r="E184" s="43"/>
      <c r="F184" s="44">
        <v>38</v>
      </c>
    </row>
    <row r="185" spans="1:6" s="35" customFormat="1" ht="21" x14ac:dyDescent="0.4">
      <c r="A185"/>
      <c r="B185" s="6" t="s">
        <v>1261</v>
      </c>
      <c r="C185" s="6"/>
      <c r="D185" s="19">
        <v>130</v>
      </c>
      <c r="E185" s="20" t="s">
        <v>1262</v>
      </c>
      <c r="F185" s="18">
        <v>46</v>
      </c>
    </row>
    <row r="186" spans="1:6" s="40" customFormat="1" ht="21" x14ac:dyDescent="0.4">
      <c r="A186"/>
      <c r="B186" s="6" t="s">
        <v>1263</v>
      </c>
      <c r="C186" s="6"/>
      <c r="D186" s="19">
        <v>45</v>
      </c>
      <c r="E186" s="20"/>
      <c r="F186" s="18">
        <v>40</v>
      </c>
    </row>
    <row r="187" spans="1:6" s="40" customFormat="1" ht="21" x14ac:dyDescent="0.4">
      <c r="A187"/>
      <c r="B187" s="6" t="s">
        <v>1264</v>
      </c>
      <c r="C187" s="6"/>
      <c r="D187" s="19">
        <v>15</v>
      </c>
      <c r="E187" s="20"/>
      <c r="F187" s="18">
        <v>40</v>
      </c>
    </row>
    <row r="188" spans="1:6" ht="21" x14ac:dyDescent="0.4">
      <c r="B188" s="6" t="s">
        <v>1265</v>
      </c>
      <c r="C188" s="6"/>
      <c r="D188" s="19">
        <v>30</v>
      </c>
      <c r="E188" s="20"/>
      <c r="F188" s="18">
        <v>40</v>
      </c>
    </row>
    <row r="189" spans="1:6" ht="21" x14ac:dyDescent="0.4">
      <c r="A189" s="35"/>
      <c r="B189" s="36" t="s">
        <v>1267</v>
      </c>
      <c r="C189" s="36"/>
      <c r="D189" s="37">
        <v>40</v>
      </c>
      <c r="E189" s="38"/>
      <c r="F189" s="39">
        <v>24</v>
      </c>
    </row>
    <row r="190" spans="1:6" ht="21" x14ac:dyDescent="0.4">
      <c r="A190" s="40"/>
      <c r="B190" s="41" t="s">
        <v>1270</v>
      </c>
      <c r="C190" s="41"/>
      <c r="D190" s="42">
        <v>25</v>
      </c>
      <c r="E190" s="43"/>
      <c r="F190" s="44">
        <v>0</v>
      </c>
    </row>
    <row r="191" spans="1:6" ht="21" x14ac:dyDescent="0.4">
      <c r="B191" s="6" t="s">
        <v>1271</v>
      </c>
      <c r="C191" s="6"/>
      <c r="D191" s="19">
        <v>5</v>
      </c>
      <c r="E191" s="20"/>
      <c r="F191" s="18">
        <v>32</v>
      </c>
    </row>
    <row r="192" spans="1:6" ht="21" x14ac:dyDescent="0.4">
      <c r="B192" s="6" t="s">
        <v>1276</v>
      </c>
      <c r="C192" s="6"/>
      <c r="D192" s="19">
        <v>10</v>
      </c>
      <c r="E192" s="20" t="s">
        <v>1266</v>
      </c>
      <c r="F192" s="18">
        <v>44</v>
      </c>
    </row>
    <row r="193" spans="1:6" ht="21" x14ac:dyDescent="0.4">
      <c r="B193" s="6" t="s">
        <v>1280</v>
      </c>
      <c r="C193" s="6"/>
      <c r="D193" s="19">
        <v>45</v>
      </c>
      <c r="E193" s="20" t="s">
        <v>1281</v>
      </c>
      <c r="F193" s="18">
        <v>48</v>
      </c>
    </row>
    <row r="194" spans="1:6" ht="21" x14ac:dyDescent="0.4">
      <c r="A194" s="35"/>
      <c r="B194" s="36" t="s">
        <v>1283</v>
      </c>
      <c r="C194" s="36"/>
      <c r="D194" s="37">
        <v>15</v>
      </c>
      <c r="E194" s="38"/>
      <c r="F194" s="39">
        <v>21</v>
      </c>
    </row>
    <row r="195" spans="1:6" ht="21" x14ac:dyDescent="0.4">
      <c r="B195" s="6" t="s">
        <v>1284</v>
      </c>
      <c r="C195" s="6"/>
      <c r="D195" s="19">
        <v>40</v>
      </c>
      <c r="E195" s="20" t="s">
        <v>1285</v>
      </c>
      <c r="F195" s="18">
        <v>45</v>
      </c>
    </row>
    <row r="196" spans="1:6" ht="21" x14ac:dyDescent="0.4">
      <c r="B196" s="6" t="s">
        <v>1292</v>
      </c>
      <c r="C196" s="6"/>
      <c r="D196" s="19">
        <v>30</v>
      </c>
      <c r="E196" s="20" t="s">
        <v>1293</v>
      </c>
      <c r="F196" s="18">
        <v>4</v>
      </c>
    </row>
    <row r="197" spans="1:6" ht="21" x14ac:dyDescent="0.4">
      <c r="B197" s="31" t="s">
        <v>1296</v>
      </c>
      <c r="C197" s="31"/>
      <c r="D197" s="32">
        <v>15</v>
      </c>
      <c r="E197" s="33"/>
      <c r="F197" s="34">
        <v>17</v>
      </c>
    </row>
    <row r="198" spans="1:6" ht="21" x14ac:dyDescent="0.4">
      <c r="A198" s="40"/>
      <c r="B198" s="41" t="s">
        <v>507</v>
      </c>
      <c r="C198" s="41"/>
      <c r="D198" s="42">
        <v>35</v>
      </c>
      <c r="E198" s="43" t="s">
        <v>1297</v>
      </c>
      <c r="F198" s="44">
        <v>8</v>
      </c>
    </row>
    <row r="199" spans="1:6" ht="21" x14ac:dyDescent="0.4">
      <c r="B199" s="6" t="s">
        <v>1298</v>
      </c>
      <c r="C199" s="6"/>
      <c r="D199" s="19">
        <v>45</v>
      </c>
      <c r="E199" s="20"/>
      <c r="F199" s="18">
        <v>32</v>
      </c>
    </row>
    <row r="200" spans="1:6" ht="21" x14ac:dyDescent="0.4">
      <c r="B200" s="6" t="s">
        <v>1300</v>
      </c>
      <c r="C200" s="6"/>
      <c r="D200" s="19">
        <v>20</v>
      </c>
      <c r="E200" s="20" t="s">
        <v>1301</v>
      </c>
      <c r="F200" s="18">
        <v>9</v>
      </c>
    </row>
    <row r="201" spans="1:6" ht="21" x14ac:dyDescent="0.4">
      <c r="A201" s="40"/>
      <c r="B201" s="41" t="s">
        <v>1304</v>
      </c>
      <c r="C201" s="41"/>
      <c r="D201" s="42">
        <v>38</v>
      </c>
      <c r="E201" s="43" t="s">
        <v>1305</v>
      </c>
      <c r="F201" s="44">
        <v>10</v>
      </c>
    </row>
    <row r="202" spans="1:6" s="51" customFormat="1" ht="21" x14ac:dyDescent="0.4">
      <c r="A202"/>
      <c r="B202" s="6" t="s">
        <v>1308</v>
      </c>
      <c r="C202" s="6"/>
      <c r="D202" s="19">
        <v>25</v>
      </c>
      <c r="E202" s="20"/>
      <c r="F202" s="18">
        <v>24</v>
      </c>
    </row>
    <row r="203" spans="1:6" ht="21" x14ac:dyDescent="0.4">
      <c r="A203" s="40"/>
      <c r="B203" s="41" t="s">
        <v>1309</v>
      </c>
      <c r="C203" s="41"/>
      <c r="D203" s="42">
        <v>27</v>
      </c>
      <c r="E203" s="43"/>
      <c r="F203" s="44">
        <v>34</v>
      </c>
    </row>
    <row r="204" spans="1:6" ht="21" x14ac:dyDescent="0.4">
      <c r="B204" s="6" t="s">
        <v>1312</v>
      </c>
      <c r="C204" s="6"/>
      <c r="D204" s="19">
        <v>25</v>
      </c>
      <c r="E204" s="20" t="s">
        <v>1313</v>
      </c>
      <c r="F204" s="18">
        <v>48</v>
      </c>
    </row>
    <row r="205" spans="1:6" ht="21" x14ac:dyDescent="0.4">
      <c r="B205" s="6" t="s">
        <v>1314</v>
      </c>
      <c r="C205" s="6"/>
      <c r="D205" s="19">
        <v>35</v>
      </c>
      <c r="E205" s="20"/>
      <c r="F205" s="18">
        <v>36</v>
      </c>
    </row>
    <row r="206" spans="1:6" ht="21" x14ac:dyDescent="0.4">
      <c r="B206" s="6" t="s">
        <v>1316</v>
      </c>
      <c r="C206" s="6"/>
      <c r="D206" s="19">
        <v>70</v>
      </c>
      <c r="E206" s="20"/>
      <c r="F206" s="18">
        <v>42</v>
      </c>
    </row>
    <row r="207" spans="1:6" ht="21" x14ac:dyDescent="0.4">
      <c r="B207" s="6" t="s">
        <v>1317</v>
      </c>
      <c r="C207" s="6"/>
      <c r="D207" s="19">
        <v>25</v>
      </c>
      <c r="E207" s="20"/>
      <c r="F207" s="18">
        <v>41</v>
      </c>
    </row>
    <row r="208" spans="1:6" ht="21" x14ac:dyDescent="0.4">
      <c r="B208" s="6" t="s">
        <v>1318</v>
      </c>
      <c r="C208" s="6"/>
      <c r="D208" s="19">
        <v>245</v>
      </c>
      <c r="E208" s="20"/>
      <c r="F208" s="18">
        <v>45</v>
      </c>
    </row>
    <row r="209" spans="1:6" ht="21" x14ac:dyDescent="0.4">
      <c r="B209" s="11" t="s">
        <v>1214</v>
      </c>
      <c r="C209" s="11"/>
      <c r="D209" s="21">
        <v>25</v>
      </c>
      <c r="E209" s="22"/>
      <c r="F209" s="23">
        <v>55</v>
      </c>
    </row>
    <row r="210" spans="1:6" ht="21" x14ac:dyDescent="0.4">
      <c r="B210" s="11" t="s">
        <v>1320</v>
      </c>
      <c r="C210" s="11"/>
      <c r="D210" s="21">
        <v>25</v>
      </c>
      <c r="E210" s="22"/>
      <c r="F210" s="23">
        <v>57</v>
      </c>
    </row>
    <row r="211" spans="1:6" ht="21" x14ac:dyDescent="0.4">
      <c r="B211" s="11" t="s">
        <v>1322</v>
      </c>
      <c r="C211" s="11"/>
      <c r="D211" s="21"/>
      <c r="E211" s="22" t="s">
        <v>1323</v>
      </c>
      <c r="F211" s="23">
        <v>58</v>
      </c>
    </row>
    <row r="212" spans="1:6" ht="21" x14ac:dyDescent="0.4">
      <c r="B212" s="6" t="s">
        <v>1324</v>
      </c>
      <c r="C212" s="6"/>
      <c r="D212" s="19">
        <v>45</v>
      </c>
      <c r="E212" s="20"/>
      <c r="F212" s="18">
        <v>10</v>
      </c>
    </row>
    <row r="213" spans="1:6" ht="21" x14ac:dyDescent="0.4">
      <c r="B213" s="6" t="s">
        <v>1325</v>
      </c>
      <c r="C213" s="6"/>
      <c r="D213" s="19">
        <v>40</v>
      </c>
      <c r="E213" s="20" t="s">
        <v>1326</v>
      </c>
      <c r="F213" s="18">
        <v>36</v>
      </c>
    </row>
    <row r="214" spans="1:6" s="35" customFormat="1" ht="21" x14ac:dyDescent="0.4">
      <c r="A214"/>
      <c r="B214" s="6" t="s">
        <v>1327</v>
      </c>
      <c r="C214" s="6"/>
      <c r="D214" s="19">
        <v>35</v>
      </c>
      <c r="E214" s="20"/>
      <c r="F214" s="18">
        <v>36</v>
      </c>
    </row>
    <row r="215" spans="1:6" ht="21" x14ac:dyDescent="0.4">
      <c r="B215" s="6" t="s">
        <v>1328</v>
      </c>
      <c r="C215" s="6"/>
      <c r="D215" s="19">
        <v>35</v>
      </c>
      <c r="E215" s="20"/>
      <c r="F215" s="18">
        <v>36</v>
      </c>
    </row>
    <row r="216" spans="1:6" ht="21" x14ac:dyDescent="0.4">
      <c r="B216" s="6" t="s">
        <v>1329</v>
      </c>
      <c r="C216" s="6"/>
      <c r="D216" s="19">
        <v>55</v>
      </c>
      <c r="E216" s="20" t="s">
        <v>1330</v>
      </c>
      <c r="F216" s="18">
        <v>39</v>
      </c>
    </row>
    <row r="217" spans="1:6" ht="21" x14ac:dyDescent="0.4">
      <c r="B217" s="6" t="s">
        <v>1331</v>
      </c>
      <c r="C217" s="6"/>
      <c r="D217" s="19">
        <v>45</v>
      </c>
      <c r="E217" s="20" t="s">
        <v>1332</v>
      </c>
      <c r="F217" s="18">
        <v>39</v>
      </c>
    </row>
    <row r="218" spans="1:6" ht="21" x14ac:dyDescent="0.4">
      <c r="B218" s="6" t="s">
        <v>1333</v>
      </c>
      <c r="C218" s="6"/>
      <c r="D218" s="19">
        <v>25</v>
      </c>
      <c r="E218" s="20" t="s">
        <v>1334</v>
      </c>
      <c r="F218" s="18">
        <v>39</v>
      </c>
    </row>
    <row r="219" spans="1:6" s="40" customFormat="1" ht="21" x14ac:dyDescent="0.4">
      <c r="B219" s="41" t="s">
        <v>1337</v>
      </c>
      <c r="C219" s="41"/>
      <c r="D219" s="42">
        <v>120</v>
      </c>
      <c r="E219" s="43"/>
      <c r="F219" s="44">
        <v>30</v>
      </c>
    </row>
    <row r="220" spans="1:6" ht="21" x14ac:dyDescent="0.4">
      <c r="B220" s="6" t="s">
        <v>1338</v>
      </c>
      <c r="C220" s="6"/>
      <c r="D220" s="19">
        <v>150</v>
      </c>
      <c r="E220" s="20"/>
      <c r="F220" s="18">
        <v>33</v>
      </c>
    </row>
    <row r="221" spans="1:6" ht="21" x14ac:dyDescent="0.4">
      <c r="B221" s="6" t="s">
        <v>1339</v>
      </c>
      <c r="C221" s="6"/>
      <c r="D221" s="19">
        <v>95</v>
      </c>
      <c r="E221" s="20"/>
      <c r="F221" s="18">
        <v>32</v>
      </c>
    </row>
    <row r="222" spans="1:6" ht="21" x14ac:dyDescent="0.4">
      <c r="B222" s="6" t="s">
        <v>1341</v>
      </c>
      <c r="C222" s="6"/>
      <c r="D222" s="19">
        <v>5</v>
      </c>
      <c r="E222" s="20" t="s">
        <v>1342</v>
      </c>
      <c r="F222" s="18">
        <v>11</v>
      </c>
    </row>
    <row r="223" spans="1:6" ht="21" x14ac:dyDescent="0.4">
      <c r="B223" s="6" t="s">
        <v>1345</v>
      </c>
      <c r="C223" s="6"/>
      <c r="D223" s="19">
        <v>55</v>
      </c>
      <c r="E223" s="20" t="s">
        <v>1346</v>
      </c>
      <c r="F223" s="18">
        <v>30</v>
      </c>
    </row>
    <row r="224" spans="1:6" ht="21" x14ac:dyDescent="0.4">
      <c r="A224" s="35"/>
      <c r="B224" s="36" t="s">
        <v>1349</v>
      </c>
      <c r="C224" s="36"/>
      <c r="D224" s="37">
        <v>27</v>
      </c>
      <c r="E224" s="38" t="s">
        <v>1350</v>
      </c>
      <c r="F224" s="39">
        <v>5</v>
      </c>
    </row>
    <row r="225" spans="1:6" ht="21" x14ac:dyDescent="0.4">
      <c r="B225" s="31" t="s">
        <v>1355</v>
      </c>
      <c r="C225" s="31"/>
      <c r="D225" s="32">
        <v>15</v>
      </c>
      <c r="E225" s="33"/>
      <c r="F225" s="34">
        <v>18</v>
      </c>
    </row>
    <row r="226" spans="1:6" ht="21" x14ac:dyDescent="0.4">
      <c r="B226" s="6" t="s">
        <v>1356</v>
      </c>
      <c r="C226" s="6"/>
      <c r="D226" s="19">
        <v>15</v>
      </c>
      <c r="E226" s="20"/>
      <c r="F226" s="18">
        <v>41</v>
      </c>
    </row>
    <row r="227" spans="1:6" ht="21" x14ac:dyDescent="0.4">
      <c r="B227" s="31" t="s">
        <v>1357</v>
      </c>
      <c r="C227" s="31"/>
      <c r="D227" s="32">
        <v>25</v>
      </c>
      <c r="E227" s="33"/>
      <c r="F227" s="34">
        <v>18</v>
      </c>
    </row>
    <row r="228" spans="1:6" s="35" customFormat="1" ht="21" x14ac:dyDescent="0.4">
      <c r="A228"/>
      <c r="B228" s="31" t="s">
        <v>1358</v>
      </c>
      <c r="C228" s="31"/>
      <c r="D228" s="32">
        <v>40</v>
      </c>
      <c r="E228" s="33"/>
      <c r="F228" s="34">
        <v>18</v>
      </c>
    </row>
    <row r="229" spans="1:6" s="40" customFormat="1" ht="21" x14ac:dyDescent="0.4">
      <c r="A229"/>
      <c r="B229" s="6" t="s">
        <v>1359</v>
      </c>
      <c r="C229" s="6"/>
      <c r="D229" s="19">
        <v>40</v>
      </c>
      <c r="E229" s="20"/>
      <c r="F229" s="18">
        <v>41</v>
      </c>
    </row>
    <row r="230" spans="1:6" ht="21" x14ac:dyDescent="0.4">
      <c r="B230" s="6" t="s">
        <v>1360</v>
      </c>
      <c r="C230" s="6"/>
      <c r="D230" s="19">
        <v>70</v>
      </c>
      <c r="E230" s="20"/>
      <c r="F230" s="18">
        <v>18</v>
      </c>
    </row>
    <row r="231" spans="1:6" ht="21" x14ac:dyDescent="0.4">
      <c r="A231" s="35"/>
      <c r="B231" s="36" t="s">
        <v>1361</v>
      </c>
      <c r="C231" s="36"/>
      <c r="D231" s="37">
        <v>15</v>
      </c>
      <c r="E231" s="38" t="s">
        <v>1362</v>
      </c>
      <c r="F231" s="39">
        <v>3</v>
      </c>
    </row>
    <row r="232" spans="1:6" ht="21" x14ac:dyDescent="0.4">
      <c r="A232" s="35"/>
      <c r="B232" s="36" t="s">
        <v>1363</v>
      </c>
      <c r="C232" s="36"/>
      <c r="D232" s="37">
        <v>25</v>
      </c>
      <c r="E232" s="38" t="s">
        <v>1362</v>
      </c>
      <c r="F232" s="39">
        <v>3</v>
      </c>
    </row>
    <row r="233" spans="1:6" s="35" customFormat="1" ht="21" x14ac:dyDescent="0.4">
      <c r="A233" s="45"/>
      <c r="B233" s="46" t="s">
        <v>1364</v>
      </c>
      <c r="C233" s="46"/>
      <c r="D233" s="47">
        <v>40</v>
      </c>
      <c r="E233" s="48" t="s">
        <v>1362</v>
      </c>
      <c r="F233" s="49">
        <v>3</v>
      </c>
    </row>
    <row r="234" spans="1:6" ht="21" x14ac:dyDescent="0.4">
      <c r="B234" s="6" t="s">
        <v>1365</v>
      </c>
      <c r="C234" s="6"/>
      <c r="D234" s="19">
        <v>55</v>
      </c>
      <c r="E234" s="20"/>
      <c r="F234" s="18">
        <v>20</v>
      </c>
    </row>
    <row r="235" spans="1:6" ht="21" x14ac:dyDescent="0.4">
      <c r="B235" s="6" t="s">
        <v>1367</v>
      </c>
      <c r="C235" s="6"/>
      <c r="D235" s="19">
        <v>85</v>
      </c>
      <c r="E235" s="20" t="s">
        <v>1368</v>
      </c>
      <c r="F235" s="18">
        <v>44</v>
      </c>
    </row>
    <row r="236" spans="1:6" ht="21" x14ac:dyDescent="0.4">
      <c r="B236" s="11" t="s">
        <v>1369</v>
      </c>
      <c r="C236" s="11"/>
      <c r="D236" s="21">
        <v>20</v>
      </c>
      <c r="E236" s="22"/>
      <c r="F236" s="23">
        <v>54</v>
      </c>
    </row>
    <row r="237" spans="1:6" ht="21" x14ac:dyDescent="0.4">
      <c r="A237" s="40"/>
      <c r="B237" s="41" t="s">
        <v>1373</v>
      </c>
      <c r="C237" s="41"/>
      <c r="D237" s="42">
        <v>15</v>
      </c>
      <c r="E237" s="43" t="s">
        <v>1374</v>
      </c>
      <c r="F237" s="44">
        <v>9</v>
      </c>
    </row>
    <row r="238" spans="1:6" ht="21" x14ac:dyDescent="0.4">
      <c r="A238" s="40"/>
      <c r="B238" s="41" t="s">
        <v>1378</v>
      </c>
      <c r="C238" s="41"/>
      <c r="D238" s="42">
        <v>75</v>
      </c>
      <c r="E238" s="43"/>
      <c r="F238" s="44">
        <v>13</v>
      </c>
    </row>
    <row r="239" spans="1:6" ht="21" x14ac:dyDescent="0.4">
      <c r="B239" s="6" t="s">
        <v>1381</v>
      </c>
      <c r="C239" s="6"/>
      <c r="D239" s="19">
        <v>45</v>
      </c>
      <c r="E239" s="20" t="s">
        <v>1382</v>
      </c>
      <c r="F239" s="18">
        <v>2</v>
      </c>
    </row>
    <row r="240" spans="1:6" ht="21" x14ac:dyDescent="0.4">
      <c r="A240" s="35"/>
      <c r="B240" s="36" t="s">
        <v>1383</v>
      </c>
      <c r="C240" s="36"/>
      <c r="D240" s="37">
        <v>25</v>
      </c>
      <c r="E240" s="38" t="s">
        <v>1384</v>
      </c>
      <c r="F240" s="39">
        <v>2</v>
      </c>
    </row>
    <row r="241" spans="1:6" ht="21" x14ac:dyDescent="0.4">
      <c r="A241" s="40"/>
      <c r="B241" s="41" t="s">
        <v>1385</v>
      </c>
      <c r="C241" s="41"/>
      <c r="D241" s="42">
        <v>25</v>
      </c>
      <c r="E241" s="43" t="s">
        <v>1386</v>
      </c>
      <c r="F241" s="44">
        <v>16</v>
      </c>
    </row>
    <row r="242" spans="1:6" ht="21" x14ac:dyDescent="0.4">
      <c r="A242" s="40"/>
      <c r="B242" s="41" t="s">
        <v>1387</v>
      </c>
      <c r="C242" s="41"/>
      <c r="D242" s="42">
        <v>25</v>
      </c>
      <c r="E242" s="43" t="s">
        <v>1388</v>
      </c>
      <c r="F242" s="44">
        <v>16</v>
      </c>
    </row>
    <row r="243" spans="1:6" ht="21" x14ac:dyDescent="0.4">
      <c r="B243" s="6" t="s">
        <v>1389</v>
      </c>
      <c r="C243" s="6"/>
      <c r="D243" s="19">
        <v>25</v>
      </c>
      <c r="E243" s="20" t="s">
        <v>1390</v>
      </c>
      <c r="F243" s="18">
        <v>16</v>
      </c>
    </row>
    <row r="244" spans="1:6" ht="21" x14ac:dyDescent="0.4">
      <c r="B244" s="6" t="s">
        <v>1391</v>
      </c>
      <c r="C244" s="6"/>
      <c r="D244" s="19">
        <v>25</v>
      </c>
      <c r="E244" s="20" t="s">
        <v>1392</v>
      </c>
      <c r="F244" s="18">
        <v>16</v>
      </c>
    </row>
    <row r="245" spans="1:6" ht="21" x14ac:dyDescent="0.4">
      <c r="B245" s="6" t="s">
        <v>1393</v>
      </c>
      <c r="C245" s="6"/>
      <c r="D245" s="19">
        <v>25</v>
      </c>
      <c r="E245" s="20" t="s">
        <v>1394</v>
      </c>
      <c r="F245" s="18">
        <v>16</v>
      </c>
    </row>
    <row r="246" spans="1:6" ht="21" x14ac:dyDescent="0.4">
      <c r="B246" s="6" t="s">
        <v>1396</v>
      </c>
      <c r="C246" s="6"/>
      <c r="D246" s="19">
        <v>20</v>
      </c>
      <c r="E246" s="20" t="s">
        <v>1397</v>
      </c>
      <c r="F246" s="18">
        <v>6</v>
      </c>
    </row>
    <row r="247" spans="1:6" s="40" customFormat="1" ht="21" x14ac:dyDescent="0.4">
      <c r="A247"/>
      <c r="B247" s="6" t="s">
        <v>1398</v>
      </c>
      <c r="C247" s="6"/>
      <c r="D247" s="19">
        <v>50</v>
      </c>
      <c r="E247" s="20" t="s">
        <v>1397</v>
      </c>
      <c r="F247" s="18">
        <v>6</v>
      </c>
    </row>
    <row r="248" spans="1:6" ht="21" x14ac:dyDescent="0.4">
      <c r="B248" s="6" t="s">
        <v>1399</v>
      </c>
      <c r="C248" s="6"/>
      <c r="D248" s="19">
        <v>30</v>
      </c>
      <c r="E248" s="20"/>
      <c r="F248" s="18">
        <v>32</v>
      </c>
    </row>
    <row r="249" spans="1:6" ht="21" x14ac:dyDescent="0.4">
      <c r="B249" s="9" t="s">
        <v>1408</v>
      </c>
      <c r="C249" s="9"/>
      <c r="D249" s="28">
        <v>45</v>
      </c>
      <c r="E249" s="29"/>
      <c r="F249" s="30">
        <v>21</v>
      </c>
    </row>
    <row r="250" spans="1:6" ht="21" x14ac:dyDescent="0.4">
      <c r="B250" s="6" t="s">
        <v>1415</v>
      </c>
      <c r="C250" s="6"/>
      <c r="D250" s="19">
        <v>160</v>
      </c>
      <c r="E250" s="20"/>
      <c r="F250" s="18">
        <v>20</v>
      </c>
    </row>
    <row r="251" spans="1:6" ht="21" x14ac:dyDescent="0.4">
      <c r="B251" s="6" t="s">
        <v>1418</v>
      </c>
      <c r="C251" s="6"/>
      <c r="D251" s="19">
        <v>8</v>
      </c>
      <c r="E251" s="20"/>
      <c r="F251" s="18">
        <v>31</v>
      </c>
    </row>
    <row r="252" spans="1:6" ht="21" x14ac:dyDescent="0.4">
      <c r="B252" s="6" t="s">
        <v>1419</v>
      </c>
      <c r="C252" s="6"/>
      <c r="D252" s="19">
        <v>25</v>
      </c>
      <c r="E252" s="20" t="s">
        <v>1414</v>
      </c>
      <c r="F252" s="18">
        <v>21</v>
      </c>
    </row>
    <row r="253" spans="1:6" ht="21" x14ac:dyDescent="0.4">
      <c r="B253" s="6" t="s">
        <v>1420</v>
      </c>
      <c r="C253" s="6"/>
      <c r="D253" s="19">
        <v>25</v>
      </c>
      <c r="E253" s="20"/>
      <c r="F253" s="18">
        <v>4</v>
      </c>
    </row>
    <row r="254" spans="1:6" ht="21" x14ac:dyDescent="0.4">
      <c r="A254" s="35"/>
      <c r="B254" s="36" t="s">
        <v>1423</v>
      </c>
      <c r="C254" s="36"/>
      <c r="D254" s="37">
        <v>45</v>
      </c>
      <c r="E254" s="38" t="s">
        <v>1424</v>
      </c>
      <c r="F254" s="39">
        <v>25</v>
      </c>
    </row>
    <row r="255" spans="1:6" s="40" customFormat="1" ht="21" x14ac:dyDescent="0.4">
      <c r="B255" s="41" t="s">
        <v>1430</v>
      </c>
      <c r="C255" s="41"/>
      <c r="D255" s="42">
        <v>55</v>
      </c>
      <c r="E255" s="43" t="s">
        <v>1431</v>
      </c>
      <c r="F255" s="44">
        <v>9</v>
      </c>
    </row>
    <row r="256" spans="1:6" ht="21" x14ac:dyDescent="0.4">
      <c r="B256" s="6" t="s">
        <v>1435</v>
      </c>
      <c r="C256" s="6"/>
      <c r="D256" s="19">
        <v>75</v>
      </c>
      <c r="E256" s="20"/>
      <c r="F256" s="18">
        <v>20</v>
      </c>
    </row>
    <row r="257" spans="1:6" ht="21" x14ac:dyDescent="0.4">
      <c r="B257" s="11" t="s">
        <v>1439</v>
      </c>
      <c r="C257" s="11"/>
      <c r="D257" s="21">
        <v>95</v>
      </c>
      <c r="E257" s="22" t="s">
        <v>1440</v>
      </c>
      <c r="F257" s="23">
        <v>56</v>
      </c>
    </row>
    <row r="258" spans="1:6" ht="21" x14ac:dyDescent="0.4">
      <c r="A258" s="35"/>
      <c r="B258" s="36" t="s">
        <v>1443</v>
      </c>
      <c r="C258" s="36"/>
      <c r="D258" s="37">
        <v>240</v>
      </c>
      <c r="E258" s="38"/>
      <c r="F258" s="39">
        <v>26</v>
      </c>
    </row>
    <row r="259" spans="1:6" ht="21" x14ac:dyDescent="0.4">
      <c r="A259" s="40"/>
      <c r="B259" s="41" t="s">
        <v>1444</v>
      </c>
      <c r="C259" s="41"/>
      <c r="D259" s="42">
        <v>220</v>
      </c>
      <c r="E259" s="43"/>
      <c r="F259" s="44">
        <v>47</v>
      </c>
    </row>
    <row r="260" spans="1:6" ht="21" x14ac:dyDescent="0.4">
      <c r="B260" s="6" t="s">
        <v>1445</v>
      </c>
      <c r="C260" s="6"/>
      <c r="D260" s="19">
        <v>7</v>
      </c>
      <c r="E260" s="20"/>
      <c r="F260" s="18">
        <v>28</v>
      </c>
    </row>
    <row r="261" spans="1:6" s="40" customFormat="1" ht="21" x14ac:dyDescent="0.4">
      <c r="A261"/>
      <c r="B261" s="6" t="s">
        <v>1446</v>
      </c>
      <c r="C261" s="6"/>
      <c r="D261" s="19">
        <v>10</v>
      </c>
      <c r="E261" s="20"/>
      <c r="F261" s="18">
        <v>26</v>
      </c>
    </row>
    <row r="262" spans="1:6" s="40" customFormat="1" ht="21" x14ac:dyDescent="0.4">
      <c r="A262"/>
      <c r="B262" s="11" t="s">
        <v>1447</v>
      </c>
      <c r="C262" s="11"/>
      <c r="D262" s="21">
        <v>20</v>
      </c>
      <c r="E262" s="22"/>
      <c r="F262" s="23">
        <v>55</v>
      </c>
    </row>
    <row r="263" spans="1:6" ht="21" x14ac:dyDescent="0.4">
      <c r="A263" s="35"/>
      <c r="B263" s="36" t="s">
        <v>1448</v>
      </c>
      <c r="C263" s="36"/>
      <c r="D263" s="37">
        <v>25</v>
      </c>
      <c r="E263" s="38"/>
      <c r="F263" s="39">
        <v>10</v>
      </c>
    </row>
    <row r="264" spans="1:6" ht="21" x14ac:dyDescent="0.4">
      <c r="B264" s="31" t="s">
        <v>1449</v>
      </c>
      <c r="C264" s="31"/>
      <c r="D264" s="32">
        <v>10</v>
      </c>
      <c r="E264" s="33"/>
      <c r="F264" s="34">
        <v>19</v>
      </c>
    </row>
    <row r="265" spans="1:6" ht="21" x14ac:dyDescent="0.4">
      <c r="B265" s="31" t="s">
        <v>1450</v>
      </c>
      <c r="C265" s="31"/>
      <c r="D265" s="32">
        <v>13</v>
      </c>
      <c r="E265" s="33"/>
      <c r="F265" s="34">
        <v>19</v>
      </c>
    </row>
    <row r="266" spans="1:6" ht="21" x14ac:dyDescent="0.4">
      <c r="B266" s="31" t="s">
        <v>1451</v>
      </c>
      <c r="C266" s="31"/>
      <c r="D266" s="32">
        <v>20</v>
      </c>
      <c r="E266" s="33" t="s">
        <v>1452</v>
      </c>
      <c r="F266" s="34">
        <v>19</v>
      </c>
    </row>
    <row r="267" spans="1:6" s="40" customFormat="1" ht="21" x14ac:dyDescent="0.4">
      <c r="A267"/>
      <c r="B267" s="31" t="s">
        <v>1453</v>
      </c>
      <c r="C267" s="31"/>
      <c r="D267" s="32">
        <v>15</v>
      </c>
      <c r="E267" s="33"/>
      <c r="F267" s="34">
        <v>19</v>
      </c>
    </row>
    <row r="268" spans="1:6" s="40" customFormat="1" ht="21" x14ac:dyDescent="0.4">
      <c r="A268"/>
      <c r="B268" s="31" t="s">
        <v>1454</v>
      </c>
      <c r="C268" s="31"/>
      <c r="D268" s="32">
        <v>25</v>
      </c>
      <c r="E268" s="33" t="s">
        <v>1452</v>
      </c>
      <c r="F268" s="34">
        <v>19</v>
      </c>
    </row>
    <row r="269" spans="1:6" s="40" customFormat="1" ht="21" x14ac:dyDescent="0.4">
      <c r="B269" s="41" t="s">
        <v>1461</v>
      </c>
      <c r="C269" s="41"/>
      <c r="D269" s="42">
        <v>55</v>
      </c>
      <c r="E269" s="43" t="s">
        <v>1462</v>
      </c>
      <c r="F269" s="44">
        <v>29</v>
      </c>
    </row>
    <row r="270" spans="1:6" s="40" customFormat="1" ht="21" x14ac:dyDescent="0.4">
      <c r="A270"/>
      <c r="B270" s="6" t="s">
        <v>1463</v>
      </c>
      <c r="C270" s="6"/>
      <c r="D270" s="19">
        <v>45</v>
      </c>
      <c r="E270" s="20"/>
      <c r="F270" s="18">
        <v>8</v>
      </c>
    </row>
    <row r="271" spans="1:6" s="40" customFormat="1" ht="21" x14ac:dyDescent="0.4">
      <c r="A271"/>
      <c r="B271" s="6" t="s">
        <v>1464</v>
      </c>
      <c r="C271" s="6"/>
      <c r="D271" s="19">
        <v>45</v>
      </c>
      <c r="E271" s="20"/>
      <c r="F271" s="18">
        <v>29</v>
      </c>
    </row>
    <row r="272" spans="1:6" s="40" customFormat="1" ht="21" x14ac:dyDescent="0.4">
      <c r="A272"/>
      <c r="B272" s="6" t="s">
        <v>1465</v>
      </c>
      <c r="C272" s="6"/>
      <c r="D272" s="19">
        <v>40</v>
      </c>
      <c r="E272" s="20"/>
      <c r="F272" s="18">
        <v>48</v>
      </c>
    </row>
    <row r="273" spans="1:6" s="40" customFormat="1" ht="21" x14ac:dyDescent="0.4">
      <c r="A273"/>
      <c r="B273" s="6" t="s">
        <v>1466</v>
      </c>
      <c r="C273" s="6"/>
      <c r="D273" s="19">
        <v>60</v>
      </c>
      <c r="E273" s="20"/>
      <c r="F273" s="18">
        <v>38</v>
      </c>
    </row>
    <row r="274" spans="1:6" s="40" customFormat="1" ht="21" x14ac:dyDescent="0.4">
      <c r="A274"/>
      <c r="B274" s="6" t="s">
        <v>1467</v>
      </c>
      <c r="C274" s="6"/>
      <c r="D274" s="19">
        <v>10</v>
      </c>
      <c r="E274" s="20" t="s">
        <v>1468</v>
      </c>
      <c r="F274" s="18">
        <v>48</v>
      </c>
    </row>
    <row r="275" spans="1:6" s="40" customFormat="1" ht="21" x14ac:dyDescent="0.4">
      <c r="B275" s="41" t="s">
        <v>1471</v>
      </c>
      <c r="C275" s="41"/>
      <c r="D275" s="42">
        <v>90</v>
      </c>
      <c r="E275" s="43"/>
      <c r="F275" s="44">
        <v>0</v>
      </c>
    </row>
    <row r="276" spans="1:6" ht="21" x14ac:dyDescent="0.4">
      <c r="B276" s="6" t="s">
        <v>1472</v>
      </c>
      <c r="C276" s="6"/>
      <c r="D276" s="19">
        <v>35</v>
      </c>
      <c r="E276" s="20" t="s">
        <v>1473</v>
      </c>
      <c r="F276" s="18">
        <v>44</v>
      </c>
    </row>
    <row r="277" spans="1:6" ht="21" x14ac:dyDescent="0.4">
      <c r="A277" s="40"/>
      <c r="B277" s="41" t="s">
        <v>1479</v>
      </c>
      <c r="C277" s="41"/>
      <c r="D277" s="42">
        <v>35</v>
      </c>
      <c r="E277" s="43"/>
      <c r="F277" s="44">
        <v>8</v>
      </c>
    </row>
    <row r="278" spans="1:6" ht="21" x14ac:dyDescent="0.4">
      <c r="A278" s="40"/>
      <c r="B278" s="41" t="s">
        <v>1480</v>
      </c>
      <c r="C278" s="41"/>
      <c r="D278" s="42">
        <v>55</v>
      </c>
      <c r="E278" s="43" t="s">
        <v>1481</v>
      </c>
      <c r="F278" s="44">
        <v>28</v>
      </c>
    </row>
    <row r="279" spans="1:6" ht="21" x14ac:dyDescent="0.4">
      <c r="B279" s="6" t="s">
        <v>1482</v>
      </c>
      <c r="C279" s="6"/>
      <c r="D279" s="19">
        <v>30</v>
      </c>
      <c r="E279" s="20" t="s">
        <v>1483</v>
      </c>
      <c r="F279" s="18">
        <v>45</v>
      </c>
    </row>
    <row r="280" spans="1:6" ht="21" x14ac:dyDescent="0.4">
      <c r="B280" s="6" t="s">
        <v>1554</v>
      </c>
      <c r="C280" s="6"/>
      <c r="D280" s="19">
        <v>220</v>
      </c>
      <c r="E280" s="20"/>
      <c r="F280" s="18"/>
    </row>
    <row r="281" spans="1:6" ht="21" x14ac:dyDescent="0.4">
      <c r="B281" s="6" t="s">
        <v>1555</v>
      </c>
      <c r="C281" s="6"/>
      <c r="D281" s="19">
        <v>320</v>
      </c>
      <c r="E281" s="20"/>
      <c r="F281" s="18"/>
    </row>
    <row r="282" spans="1:6" ht="21" x14ac:dyDescent="0.4">
      <c r="B282" s="6" t="s">
        <v>1484</v>
      </c>
      <c r="C282" s="6"/>
      <c r="D282" s="19">
        <v>45</v>
      </c>
      <c r="E282" s="20"/>
      <c r="F282" s="18">
        <v>48</v>
      </c>
    </row>
    <row r="283" spans="1:6" ht="21" x14ac:dyDescent="0.4">
      <c r="B283" s="6" t="s">
        <v>1485</v>
      </c>
      <c r="C283" s="6"/>
      <c r="D283" s="19">
        <v>65</v>
      </c>
      <c r="E283" s="20"/>
      <c r="F283" s="18">
        <v>48</v>
      </c>
    </row>
    <row r="284" spans="1:6" ht="21" x14ac:dyDescent="0.4">
      <c r="B284" s="6" t="s">
        <v>1486</v>
      </c>
      <c r="C284" s="6"/>
      <c r="D284" s="19">
        <v>75</v>
      </c>
      <c r="E284" s="20"/>
      <c r="F284" s="18">
        <v>48</v>
      </c>
    </row>
    <row r="285" spans="1:6" ht="21" x14ac:dyDescent="0.4">
      <c r="A285" s="40"/>
      <c r="B285" s="41" t="s">
        <v>1487</v>
      </c>
      <c r="C285" s="41"/>
      <c r="D285" s="42">
        <v>12</v>
      </c>
      <c r="E285" s="43" t="s">
        <v>1488</v>
      </c>
      <c r="F285" s="44">
        <v>0</v>
      </c>
    </row>
    <row r="286" spans="1:6" ht="21" x14ac:dyDescent="0.4">
      <c r="A286" s="40"/>
      <c r="B286" s="41" t="s">
        <v>1489</v>
      </c>
      <c r="C286" s="41"/>
      <c r="D286" s="42">
        <v>50</v>
      </c>
      <c r="E286" s="43"/>
      <c r="F286" s="44">
        <v>0</v>
      </c>
    </row>
    <row r="287" spans="1:6" ht="21" x14ac:dyDescent="0.4">
      <c r="A287" s="40"/>
      <c r="B287" s="41"/>
      <c r="C287" s="41"/>
      <c r="D287" s="42"/>
      <c r="E287" s="43"/>
      <c r="F287" s="44"/>
    </row>
    <row r="288" spans="1:6" ht="21" x14ac:dyDescent="0.4">
      <c r="A288" s="40"/>
      <c r="B288" s="41"/>
      <c r="C288" s="41"/>
      <c r="D288" s="42"/>
      <c r="E288" s="43"/>
      <c r="F288" s="44"/>
    </row>
    <row r="289" spans="2:6" ht="21" x14ac:dyDescent="0.4">
      <c r="B289" s="11" t="s">
        <v>1490</v>
      </c>
      <c r="C289" s="11"/>
      <c r="D289" s="21">
        <v>105</v>
      </c>
      <c r="E289" s="22" t="s">
        <v>1491</v>
      </c>
      <c r="F289" s="23">
        <v>21</v>
      </c>
    </row>
    <row r="290" spans="2:6" ht="21" x14ac:dyDescent="0.4">
      <c r="B290" s="11" t="s">
        <v>1492</v>
      </c>
      <c r="C290" s="11"/>
      <c r="D290" s="21">
        <v>15</v>
      </c>
      <c r="E290" s="22" t="s">
        <v>1493</v>
      </c>
      <c r="F290" s="23">
        <v>56</v>
      </c>
    </row>
    <row r="291" spans="2:6" ht="21" x14ac:dyDescent="0.4">
      <c r="B291" s="6" t="s">
        <v>1495</v>
      </c>
      <c r="C291" s="6"/>
      <c r="D291" s="19">
        <v>5</v>
      </c>
      <c r="E291" s="20" t="s">
        <v>1496</v>
      </c>
      <c r="F291" s="18">
        <v>32</v>
      </c>
    </row>
  </sheetData>
  <sortState ref="A91:F290">
    <sortCondition ref="A91"/>
  </sortState>
  <mergeCells count="1">
    <mergeCell ref="B1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INTEGRADOS</vt:lpstr>
      <vt:lpstr>MODULOS ARDUINO</vt:lpstr>
      <vt:lpstr>Hoja3</vt:lpstr>
      <vt:lpstr>Gráfico1</vt:lpstr>
    </vt:vector>
  </TitlesOfParts>
  <Company>WindowsWolf.com.ar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</dc:creator>
  <cp:lastModifiedBy>HUAWEI</cp:lastModifiedBy>
  <cp:lastPrinted>2021-03-25T15:34:33Z</cp:lastPrinted>
  <dcterms:created xsi:type="dcterms:W3CDTF">2020-04-13T13:16:06Z</dcterms:created>
  <dcterms:modified xsi:type="dcterms:W3CDTF">2026-09-02T02:10:20Z</dcterms:modified>
</cp:coreProperties>
</file>